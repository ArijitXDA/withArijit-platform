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codeName="ThisWorkbook"/>
  <mc:AlternateContent xmlns:mc="http://schemas.openxmlformats.org/markup-compatibility/2006">
    <mc:Choice Requires="x15">
      <x15ac:absPath xmlns:x15ac="http://schemas.microsoft.com/office/spreadsheetml/2010/11/ac" url="/Users/Arijit_WS/withArijit-platform/"/>
    </mc:Choice>
  </mc:AlternateContent>
  <xr:revisionPtr revIDLastSave="0" documentId="13_ncr:1_{4EE89E92-61CA-824A-A855-2AB117DC8FBA}" xr6:coauthVersionLast="47" xr6:coauthVersionMax="47" xr10:uidLastSave="{00000000-0000-0000-0000-000000000000}"/>
  <bookViews>
    <workbookView minimized="1" xWindow="1920" yWindow="1920" windowWidth="24380" windowHeight="15440" xr2:uid="{00000000-000D-0000-FFFF-FFFF00000000}"/>
  </bookViews>
  <sheets>
    <sheet name="Registered" sheetId="1" r:id="rId1"/>
    <sheet name="08Aug2025" sheetId="9" r:id="rId2"/>
    <sheet name="Sheet2" sheetId="10" r:id="rId3"/>
    <sheet name="Segments" sheetId="8" r:id="rId4"/>
    <sheet name="March W1 Effort" sheetId="7" r:id="rId5"/>
    <sheet name="Alert List" sheetId="3" r:id="rId6"/>
    <sheet name="Hot List" sheetId="6" r:id="rId7"/>
    <sheet name="Followups" sheetId="2" r:id="rId8"/>
    <sheet name="Actionables" sheetId="4" r:id="rId9"/>
    <sheet name="Graphs" sheetId="5" r:id="rId10"/>
  </sheets>
  <definedNames>
    <definedName name="_xlnm._FilterDatabase" localSheetId="1" hidden="1">'08Aug2025'!$A$2:$J$75</definedName>
    <definedName name="_xlnm._FilterDatabase" localSheetId="7" hidden="1">Followups!$A$1:$F$1</definedName>
    <definedName name="_xlnm._FilterDatabase" localSheetId="4" hidden="1">'March W1 Effort'!$A$4:$M$65</definedName>
    <definedName name="_xlnm._FilterDatabase" localSheetId="0" hidden="1">Registered!$A$2:$U$113</definedName>
    <definedName name="_xlchart.v1.0" hidden="1">Graphs!$V$16:$X$21</definedName>
    <definedName name="_xlchart.v1.1" hidden="1">Graphs!$Y$16:$Y$21</definedName>
    <definedName name="Slicer_Should_I_Call?">#N/A</definedName>
  </definedNames>
  <calcPr calcId="191028"/>
  <pivotCaches>
    <pivotCache cacheId="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9" l="1"/>
  <c r="H1" i="9"/>
  <c r="A1" i="9"/>
  <c r="C1" i="9"/>
  <c r="D1" i="9"/>
  <c r="N3" i="8" a="1"/>
  <c r="N3" i="8"/>
  <c r="M3" i="8" a="1"/>
  <c r="M3" i="8"/>
  <c r="L3" i="8" a="1"/>
  <c r="L3" i="8"/>
  <c r="K3" i="8" a="1"/>
  <c r="K3" i="8"/>
  <c r="J3" i="8" a="1"/>
  <c r="J3" i="8"/>
  <c r="A1" i="8"/>
  <c r="F1" i="8"/>
  <c r="N1" i="8"/>
  <c r="E1" i="8"/>
  <c r="M1" i="8"/>
  <c r="D1" i="8"/>
  <c r="L1" i="8"/>
  <c r="C1" i="8"/>
  <c r="K1" i="8"/>
  <c r="B1" i="8"/>
  <c r="J1" i="8"/>
  <c r="J17" i="1"/>
  <c r="M17" i="1" s="1"/>
  <c r="L17" i="1" s="1"/>
  <c r="N17" i="1" s="1"/>
  <c r="J49" i="7"/>
  <c r="J65" i="7"/>
  <c r="J64" i="7"/>
  <c r="J63" i="7"/>
  <c r="J62" i="7"/>
  <c r="J61" i="7"/>
  <c r="J60" i="7"/>
  <c r="J59" i="7"/>
  <c r="J58" i="7"/>
  <c r="J57" i="7"/>
  <c r="J56" i="7"/>
  <c r="J55" i="7"/>
  <c r="J54" i="7"/>
  <c r="J53" i="7"/>
  <c r="J52" i="7"/>
  <c r="J51" i="7"/>
  <c r="J50"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8" i="7"/>
  <c r="J17" i="7"/>
  <c r="J16" i="7"/>
  <c r="J15" i="7"/>
  <c r="J14" i="7"/>
  <c r="J13" i="7"/>
  <c r="J12" i="7"/>
  <c r="J11" i="7"/>
  <c r="J10" i="7"/>
  <c r="J9" i="7"/>
  <c r="J8" i="7"/>
  <c r="J7" i="7"/>
  <c r="J6" i="7"/>
  <c r="J5" i="7"/>
  <c r="I3" i="7"/>
  <c r="A3" i="7"/>
  <c r="H3" i="7"/>
  <c r="G3" i="7"/>
  <c r="F3" i="7"/>
  <c r="E3" i="7"/>
  <c r="D3" i="7"/>
  <c r="C3" i="7"/>
  <c r="B3" i="7"/>
  <c r="J8" i="1"/>
  <c r="M8" i="1" s="1"/>
  <c r="L8" i="1" s="1"/>
  <c r="N8" i="1" s="1"/>
  <c r="J7" i="1"/>
  <c r="M7" i="1" s="1"/>
  <c r="L7" i="1" s="1"/>
  <c r="N7" i="1" s="1"/>
  <c r="J52" i="1"/>
  <c r="M52" i="1" s="1"/>
  <c r="N52" i="1"/>
  <c r="J9" i="1"/>
  <c r="M9" i="1" s="1"/>
  <c r="L9" i="1" s="1"/>
  <c r="N9" i="1" s="1"/>
  <c r="A2" i="6" a="1"/>
  <c r="A2" i="6"/>
  <c r="A3" i="1" a="1"/>
  <c r="A3" i="1"/>
  <c r="A1" i="1"/>
  <c r="J11" i="1"/>
  <c r="M11" i="1" s="1"/>
  <c r="L11" i="1" s="1"/>
  <c r="N11" i="1" s="1"/>
  <c r="J10" i="1"/>
  <c r="M10" i="1" s="1"/>
  <c r="L10" i="1" s="1"/>
  <c r="J6" i="1"/>
  <c r="M6" i="1" s="1"/>
  <c r="L6" i="1" s="1"/>
  <c r="N6" i="1" s="1"/>
  <c r="J12" i="1"/>
  <c r="M12" i="1" s="1"/>
  <c r="L12" i="1" s="1"/>
  <c r="N12" i="1" s="1"/>
  <c r="J1" i="1"/>
  <c r="I1" i="1"/>
  <c r="H1" i="1"/>
  <c r="C1" i="1"/>
  <c r="B1" i="1"/>
  <c r="J5" i="1"/>
  <c r="M5" i="1" s="1"/>
  <c r="L5" i="1" s="1"/>
  <c r="N5" i="1" s="1"/>
  <c r="J13" i="1"/>
  <c r="M13" i="1" s="1"/>
  <c r="J4" i="1"/>
  <c r="M4" i="1" s="1"/>
  <c r="L4" i="1" s="1"/>
  <c r="N4" i="1" s="1"/>
  <c r="O1" i="1"/>
  <c r="D1" i="3"/>
  <c r="E1" i="3"/>
  <c r="B2" i="3" a="1"/>
  <c r="B2" i="3"/>
  <c r="J3" i="1"/>
  <c r="M3" i="1" s="1"/>
  <c r="L3" i="1" s="1"/>
  <c r="N3" i="1"/>
  <c r="J16" i="1"/>
  <c r="M16" i="1" s="1"/>
  <c r="L16" i="1" s="1"/>
  <c r="J38" i="1"/>
  <c r="M38" i="1" s="1"/>
  <c r="L38" i="1" s="1"/>
  <c r="N38" i="1" s="1"/>
  <c r="J15" i="1"/>
  <c r="M15" i="1" s="1"/>
  <c r="L15" i="1" s="1"/>
  <c r="N15" i="1"/>
  <c r="J40" i="1"/>
  <c r="M40" i="1" s="1"/>
  <c r="L40" i="1" s="1"/>
  <c r="N40" i="1" s="1"/>
  <c r="J25" i="1"/>
  <c r="M25" i="1" s="1"/>
  <c r="L25" i="1" s="1"/>
  <c r="N25" i="1" s="1"/>
  <c r="J62" i="1"/>
  <c r="M62" i="1" s="1"/>
  <c r="L62" i="1" s="1"/>
  <c r="J61" i="1"/>
  <c r="M61" i="1" s="1"/>
  <c r="L61" i="1" s="1"/>
  <c r="J39" i="1"/>
  <c r="M39" i="1" s="1"/>
  <c r="J58" i="1"/>
  <c r="M58" i="1" s="1"/>
  <c r="L58" i="1" s="1"/>
  <c r="N58" i="1"/>
  <c r="J56" i="1"/>
  <c r="M56" i="1" s="1"/>
  <c r="J47" i="1"/>
  <c r="M47" i="1" s="1"/>
  <c r="J46" i="1"/>
  <c r="M46" i="1" s="1"/>
  <c r="L46" i="1" s="1"/>
  <c r="J45" i="1"/>
  <c r="M45" i="1" s="1"/>
  <c r="L45" i="1" s="1"/>
  <c r="N45" i="1" s="1"/>
  <c r="J44" i="1"/>
  <c r="M44" i="1" s="1"/>
  <c r="J43" i="1"/>
  <c r="M43" i="1" s="1"/>
  <c r="J37" i="1"/>
  <c r="M37" i="1" s="1"/>
  <c r="J57" i="1"/>
  <c r="M57" i="1" s="1"/>
  <c r="L57" i="1" s="1"/>
  <c r="J36" i="1"/>
  <c r="M36" i="1" s="1"/>
  <c r="J41" i="1"/>
  <c r="M41" i="1" s="1"/>
  <c r="L41" i="1" s="1"/>
  <c r="J50" i="1"/>
  <c r="M50" i="1" s="1"/>
  <c r="L50" i="1" s="1"/>
  <c r="N50" i="1"/>
  <c r="J35" i="1"/>
  <c r="M35" i="1" s="1"/>
  <c r="L35" i="1" s="1"/>
  <c r="N35" i="1"/>
  <c r="J33" i="1"/>
  <c r="M33" i="1" s="1"/>
  <c r="L33" i="1" s="1"/>
  <c r="N33" i="1" s="1"/>
  <c r="J42" i="1"/>
  <c r="M42" i="1" s="1"/>
  <c r="J49" i="1"/>
  <c r="M49" i="1" s="1"/>
  <c r="L49" i="1" s="1"/>
  <c r="J32" i="1"/>
  <c r="M32" i="1" s="1"/>
  <c r="L32" i="1" s="1"/>
  <c r="N32" i="1" s="1"/>
  <c r="J31" i="1"/>
  <c r="M31" i="1" s="1"/>
  <c r="L31" i="1" s="1"/>
  <c r="N31" i="1" s="1"/>
  <c r="J30" i="1"/>
  <c r="M30" i="1" s="1"/>
  <c r="L30" i="1" s="1"/>
  <c r="N30" i="1" s="1"/>
  <c r="J29" i="1"/>
  <c r="M29" i="1" s="1"/>
  <c r="L29" i="1" s="1"/>
  <c r="N29" i="1" s="1"/>
  <c r="J28" i="1"/>
  <c r="M28" i="1" s="1"/>
  <c r="J27" i="1"/>
  <c r="M27" i="1" s="1"/>
  <c r="L27" i="1" s="1"/>
  <c r="N27" i="1" s="1"/>
  <c r="J26" i="1"/>
  <c r="M26" i="1" s="1"/>
  <c r="J54" i="1"/>
  <c r="M54" i="1" s="1"/>
  <c r="J14" i="1"/>
  <c r="M14" i="1" s="1"/>
  <c r="L14" i="1" s="1"/>
  <c r="N14" i="1"/>
  <c r="J24" i="1"/>
  <c r="M24" i="1" s="1"/>
  <c r="L24" i="1" s="1"/>
  <c r="N24" i="1" s="1"/>
  <c r="J23" i="1"/>
  <c r="M23" i="1" s="1"/>
  <c r="L23" i="1" s="1"/>
  <c r="N23" i="1" s="1"/>
  <c r="J22" i="1"/>
  <c r="M22" i="1" s="1"/>
  <c r="J21" i="1"/>
  <c r="M21" i="1" s="1"/>
  <c r="L21" i="1" s="1"/>
  <c r="J20" i="1"/>
  <c r="M20" i="1" s="1"/>
  <c r="J19" i="1"/>
  <c r="M19" i="1" s="1"/>
  <c r="L19" i="1" s="1"/>
  <c r="N19" i="1"/>
  <c r="J18" i="1"/>
  <c r="M18" i="1" s="1"/>
  <c r="L18" i="1" s="1"/>
  <c r="J59" i="1"/>
  <c r="M59" i="1" s="1"/>
  <c r="L59" i="1" s="1"/>
  <c r="J51" i="1"/>
  <c r="M51" i="1" s="1"/>
  <c r="L51" i="1" s="1"/>
  <c r="N51" i="1"/>
  <c r="J55" i="1"/>
  <c r="M55" i="1" s="1"/>
  <c r="L55" i="1" s="1"/>
  <c r="N55" i="1"/>
  <c r="J60" i="1"/>
  <c r="M60" i="1" s="1"/>
  <c r="J48" i="1"/>
  <c r="M48" i="1" s="1"/>
  <c r="J53" i="1"/>
  <c r="M53" i="1" s="1"/>
  <c r="J34" i="1"/>
  <c r="M34" i="1" s="1"/>
  <c r="N13" i="2"/>
  <c r="N12" i="2"/>
  <c r="N11" i="2"/>
  <c r="N10" i="2"/>
  <c r="N9" i="2"/>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56" i="1"/>
  <c r="N47" i="1"/>
  <c r="N46" i="1"/>
  <c r="N41"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14" i="2"/>
  <c r="M1" i="2"/>
  <c r="L1" i="2"/>
  <c r="N7" i="2"/>
  <c r="N6" i="2"/>
  <c r="N5" i="2"/>
  <c r="N8" i="2"/>
  <c r="N1" i="2"/>
  <c r="N4" i="2"/>
  <c r="N3" i="2"/>
  <c r="N54" i="1"/>
  <c r="N59" i="1"/>
  <c r="N48" i="1"/>
  <c r="N53" i="1"/>
  <c r="N60" i="1"/>
  <c r="N57" i="1"/>
  <c r="N44" i="1"/>
  <c r="N62" i="1"/>
  <c r="N61" i="1"/>
  <c r="N43" i="1"/>
  <c r="E2" i="7"/>
  <c r="E1" i="7"/>
  <c r="C2" i="7"/>
  <c r="I2" i="7"/>
  <c r="G1" i="3"/>
  <c r="E1" i="1"/>
  <c r="N42" i="1"/>
  <c r="N49" i="1"/>
  <c r="J3" i="7"/>
  <c r="J1" i="7"/>
  <c r="I1" i="7"/>
  <c r="N16" i="1"/>
  <c r="N18" i="1"/>
  <c r="N21" i="1"/>
  <c r="N10" i="1"/>
  <c r="N26" i="1"/>
  <c r="L22" i="1" l="1"/>
  <c r="N22" i="1" s="1"/>
  <c r="L34" i="1"/>
  <c r="N34" i="1" s="1"/>
  <c r="L39" i="1"/>
  <c r="N39" i="1" s="1"/>
  <c r="L54" i="1"/>
  <c r="L53" i="1"/>
  <c r="L28" i="1"/>
  <c r="N28" i="1" s="1"/>
  <c r="L52" i="1"/>
  <c r="L26" i="1"/>
  <c r="L20" i="1"/>
  <c r="N20" i="1" s="1"/>
  <c r="L37" i="1"/>
  <c r="N37" i="1" s="1"/>
  <c r="L47" i="1"/>
  <c r="L48" i="1"/>
  <c r="L42" i="1"/>
  <c r="L43" i="1"/>
  <c r="L56" i="1"/>
  <c r="L13" i="1"/>
  <c r="N13" i="1" s="1"/>
  <c r="L60" i="1"/>
  <c r="L36" i="1"/>
  <c r="N36" i="1" s="1"/>
  <c r="L44" i="1"/>
  <c r="B3" i="3" l="1" a="1"/>
  <c r="H17" i="3" s="1" a="1"/>
  <c r="N1" i="1"/>
  <c r="K1" i="1" s="1"/>
  <c r="W2" i="5" s="1" a="1"/>
  <c r="H17" i="3" l="1"/>
  <c r="F17" i="3" s="1"/>
  <c r="G17" i="3" s="1"/>
  <c r="H28" i="3" a="1"/>
  <c r="H13" i="3" a="1"/>
  <c r="H18" i="3" a="1"/>
  <c r="H26" i="3" a="1"/>
  <c r="H21" i="3" a="1"/>
  <c r="H4" i="3" a="1"/>
  <c r="H23" i="3" a="1"/>
  <c r="H22" i="3" a="1"/>
  <c r="H9" i="3" a="1"/>
  <c r="H16" i="3" a="1"/>
  <c r="H19" i="3" a="1"/>
  <c r="H14" i="3" a="1"/>
  <c r="H30" i="3" a="1"/>
  <c r="H12" i="3" a="1"/>
  <c r="H29" i="3" a="1"/>
  <c r="H8" i="3" a="1"/>
  <c r="H5" i="3" a="1"/>
  <c r="H31" i="3" a="1"/>
  <c r="H15" i="3" a="1"/>
  <c r="H27" i="3" a="1"/>
  <c r="H11" i="3" a="1"/>
  <c r="H25" i="3" a="1"/>
  <c r="H24" i="3" a="1"/>
  <c r="G31" i="3"/>
  <c r="H20" i="3" a="1"/>
  <c r="H10" i="3" a="1"/>
  <c r="B3" i="3"/>
  <c r="H6" i="3" a="1"/>
  <c r="H7" i="3" a="1"/>
  <c r="Y3" i="5" a="1"/>
  <c r="Y3" i="5" s="1"/>
  <c r="W2" i="5"/>
  <c r="H23" i="3" l="1"/>
  <c r="F23" i="3" s="1"/>
  <c r="G23" i="3" s="1"/>
  <c r="H22" i="3"/>
  <c r="F22" i="3" s="1"/>
  <c r="G22" i="3" s="1"/>
  <c r="H20" i="3"/>
  <c r="F20" i="3" s="1"/>
  <c r="G20" i="3" s="1"/>
  <c r="H24" i="3"/>
  <c r="F24" i="3" s="1"/>
  <c r="G24" i="3" s="1"/>
  <c r="H21" i="3"/>
  <c r="F21" i="3" s="1"/>
  <c r="G21" i="3" s="1"/>
  <c r="H16" i="3"/>
  <c r="F16" i="3" s="1"/>
  <c r="G16" i="3" s="1"/>
  <c r="H28" i="3"/>
  <c r="F28" i="3" s="1"/>
  <c r="G28" i="3" s="1"/>
  <c r="H19" i="3"/>
  <c r="F19" i="3" s="1"/>
  <c r="G19" i="3" s="1"/>
  <c r="H30" i="3"/>
  <c r="F30" i="3" s="1"/>
  <c r="G30" i="3" s="1"/>
  <c r="H29" i="3"/>
  <c r="F29" i="3" s="1"/>
  <c r="G29" i="3" s="1"/>
  <c r="H8" i="3"/>
  <c r="F8" i="3" s="1"/>
  <c r="G8" i="3" s="1"/>
  <c r="H25" i="3"/>
  <c r="F25" i="3" s="1"/>
  <c r="G25" i="3" s="1"/>
  <c r="H26" i="3"/>
  <c r="F26" i="3" s="1"/>
  <c r="G26" i="3" s="1"/>
  <c r="H9" i="3"/>
  <c r="F9" i="3" s="1"/>
  <c r="G9" i="3" s="1"/>
  <c r="H11" i="3"/>
  <c r="F11" i="3" s="1"/>
  <c r="G11" i="3" s="1"/>
  <c r="H13" i="3"/>
  <c r="F13" i="3" s="1"/>
  <c r="G13" i="3" s="1"/>
  <c r="H14" i="3"/>
  <c r="F14" i="3" s="1"/>
  <c r="G14" i="3" s="1"/>
  <c r="H4" i="3"/>
  <c r="F4" i="3" s="1"/>
  <c r="G4" i="3" s="1"/>
  <c r="H27" i="3"/>
  <c r="F27" i="3" s="1"/>
  <c r="G27" i="3" s="1"/>
  <c r="H18" i="3"/>
  <c r="F18" i="3" s="1"/>
  <c r="G18" i="3" s="1"/>
  <c r="H5" i="3"/>
  <c r="F5" i="3" s="1"/>
  <c r="G5" i="3" s="1"/>
  <c r="H12" i="3"/>
  <c r="F12" i="3" s="1"/>
  <c r="G12" i="3" s="1"/>
  <c r="H15" i="3"/>
  <c r="F15" i="3" s="1"/>
  <c r="G15" i="3" s="1"/>
  <c r="H31" i="3"/>
  <c r="H6" i="3"/>
  <c r="F6" i="3" s="1"/>
  <c r="G6" i="3" s="1"/>
  <c r="H7" i="3"/>
  <c r="F7" i="3" s="1"/>
  <c r="G7" i="3" s="1"/>
  <c r="H10" i="3"/>
  <c r="F10" i="3" s="1"/>
  <c r="G10" i="3" s="1"/>
  <c r="B1" i="3"/>
  <c r="H3" i="3" a="1"/>
  <c r="Y16" i="5"/>
  <c r="Y21" i="5"/>
  <c r="Y18" i="5"/>
  <c r="Y20" i="5"/>
  <c r="Y17" i="5"/>
  <c r="Y19" i="5"/>
  <c r="H3" i="3" l="1"/>
  <c r="F3" i="3" s="1"/>
  <c r="G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Arijit Chowdhury</author>
  </authors>
  <commentList>
    <comment ref="R10" authorId="0" shapeId="0" xr:uid="{9CD45E36-7371-4298-97FD-85DECC575D86}">
      <text>
        <r>
          <rPr>
            <b/>
            <sz val="9"/>
            <color indexed="81"/>
            <rFont val="Tahoma"/>
            <family val="2"/>
          </rPr>
          <t>Arijit Chowdhury:</t>
        </r>
        <r>
          <rPr>
            <sz val="9"/>
            <color indexed="81"/>
            <rFont val="Tahoma"/>
            <family val="2"/>
          </rPr>
          <t xml:space="preserve">
3499/- due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<sst xmlns="http://schemas.openxmlformats.org/spreadsheetml/2006/main" count="1260" uniqueCount="374">
  <si>
    <t>S/N</t>
  </si>
  <si>
    <t>Flag</t>
  </si>
  <si>
    <t>Name</t>
  </si>
  <si>
    <t>Module</t>
  </si>
  <si>
    <t>Doubt Flag</t>
  </si>
  <si>
    <t>Pause Remark</t>
  </si>
  <si>
    <t>Break Days</t>
  </si>
  <si>
    <t>Email</t>
  </si>
  <si>
    <t>Live</t>
  </si>
  <si>
    <t>Vintage</t>
  </si>
  <si>
    <t>Batch Timing</t>
  </si>
  <si>
    <t>Month#</t>
  </si>
  <si>
    <t>Day#</t>
  </si>
  <si>
    <t>Check!</t>
  </si>
  <si>
    <t>Class 1 Dt</t>
  </si>
  <si>
    <t>Fee 1</t>
  </si>
  <si>
    <t>Fee 2</t>
  </si>
  <si>
    <t>Fee 3</t>
  </si>
  <si>
    <t>Fee 4</t>
  </si>
  <si>
    <t>Fee 5</t>
  </si>
  <si>
    <t>Fee 6</t>
  </si>
  <si>
    <t>Fee 7</t>
  </si>
  <si>
    <t>Amrendra Singh</t>
  </si>
  <si>
    <t>New</t>
  </si>
  <si>
    <t>singh_amrendra@rediffmail.com</t>
  </si>
  <si>
    <t>Saturday 3pm</t>
  </si>
  <si>
    <t>Abhishek P</t>
  </si>
  <si>
    <t>Abhi.praka@gmail.com</t>
  </si>
  <si>
    <t>Sunday 3pm</t>
  </si>
  <si>
    <t>Rajesh Jaiswal</t>
  </si>
  <si>
    <t>jacobsrajesh@gmail.com</t>
  </si>
  <si>
    <t>Am_madhu@rediffmail.com</t>
  </si>
  <si>
    <t>Samuel Brainerd</t>
  </si>
  <si>
    <t>samuelbrainerd@yahoo.com</t>
  </si>
  <si>
    <t>Ajinkyasing Paradeshi</t>
  </si>
  <si>
    <t>No</t>
  </si>
  <si>
    <t>ajinkya0902@gmail.com</t>
  </si>
  <si>
    <t>Sunday 12-30pm</t>
  </si>
  <si>
    <t>Yes</t>
  </si>
  <si>
    <t>Ajay Sharma</t>
  </si>
  <si>
    <t>ajju1582@gmail.com</t>
  </si>
  <si>
    <t>Rajesh Pal</t>
  </si>
  <si>
    <t>rajeshpal3773@gmail.com</t>
  </si>
  <si>
    <t>Akshay Shah</t>
  </si>
  <si>
    <t>Akshay02_shah@yahoo.co.in</t>
  </si>
  <si>
    <t>Balgovind Pal</t>
  </si>
  <si>
    <t>palbalgovind80@gmail.com</t>
  </si>
  <si>
    <t>Avanish Pathak</t>
  </si>
  <si>
    <t>avanishpathak808@gmail.com</t>
  </si>
  <si>
    <t>Mahesh Sawant</t>
  </si>
  <si>
    <t>Power BI</t>
  </si>
  <si>
    <t>Maheshtrigya79@gmail.com</t>
  </si>
  <si>
    <t>Sunday 11am</t>
  </si>
  <si>
    <t>Uttam Yamgar</t>
  </si>
  <si>
    <t>uttamyamgar82@gmail.com</t>
  </si>
  <si>
    <t>Abhay Sail</t>
  </si>
  <si>
    <t>abhay.sail21@gmail.com</t>
  </si>
  <si>
    <t>Amrut Chavan</t>
  </si>
  <si>
    <t>Amrut.chavan@kotak.com</t>
  </si>
  <si>
    <t>Ankita Rahate</t>
  </si>
  <si>
    <t>rahate_ankita@rediffmail.com</t>
  </si>
  <si>
    <t>Rajesh Gangan</t>
  </si>
  <si>
    <t>gangan.rajesh@gmail.com</t>
  </si>
  <si>
    <t>Sayali Gaikwad</t>
  </si>
  <si>
    <t>sayalig077@gmail.com</t>
  </si>
  <si>
    <t>Swapnil G</t>
  </si>
  <si>
    <t>swapnil862@gmail.com</t>
  </si>
  <si>
    <t>Sunday 9-30am</t>
  </si>
  <si>
    <t>Sourangshu M</t>
  </si>
  <si>
    <t>sourangshu.maitra@gmail.com</t>
  </si>
  <si>
    <t>Shailendra K</t>
  </si>
  <si>
    <t>shailendra.khobaragade@gmail.com</t>
  </si>
  <si>
    <t>Harish S</t>
  </si>
  <si>
    <t>harish_suri@hotmail.com</t>
  </si>
  <si>
    <t>Kunal M</t>
  </si>
  <si>
    <t>kunalmitramustaphi@gmail.com</t>
  </si>
  <si>
    <t>Sagar G</t>
  </si>
  <si>
    <t>sagarg077@gmail.com</t>
  </si>
  <si>
    <t>Chris F</t>
  </si>
  <si>
    <t>fernandeschris329@gmail.com</t>
  </si>
  <si>
    <t>Anand K</t>
  </si>
  <si>
    <t>anandushwaha@gmail.com</t>
  </si>
  <si>
    <t>Sachin K</t>
  </si>
  <si>
    <t>sachin.kharapkar@outlook.com</t>
  </si>
  <si>
    <t>Mayank Pant</t>
  </si>
  <si>
    <t>mayank_pant28@yahoo.co.in</t>
  </si>
  <si>
    <t>Subhrangshu N</t>
  </si>
  <si>
    <t>subhrangsu.nath@gmail.com</t>
  </si>
  <si>
    <t>Amit V</t>
  </si>
  <si>
    <t>amitv0712@gmail.com</t>
  </si>
  <si>
    <t>Prashita T</t>
  </si>
  <si>
    <t>prashita_23@yahoo.com</t>
  </si>
  <si>
    <t>Milton</t>
  </si>
  <si>
    <t>miltonsequeira06@gmail.com</t>
  </si>
  <si>
    <t>Sunday 2-30pm</t>
  </si>
  <si>
    <t>Nishant K</t>
  </si>
  <si>
    <t xml:space="preserve">p12nishantk@iimidr.ac.in </t>
  </si>
  <si>
    <t>Sagar (Hemant Sharma)</t>
  </si>
  <si>
    <t>GPT</t>
  </si>
  <si>
    <t>Claimchase.sagar@gmail.com</t>
  </si>
  <si>
    <t>Hemant Sharma</t>
  </si>
  <si>
    <t>hemant@manassolutions.com</t>
  </si>
  <si>
    <t>Saturday 11am</t>
  </si>
  <si>
    <t>Subrata D</t>
  </si>
  <si>
    <t>subhd.6.11.2017@gmail.com</t>
  </si>
  <si>
    <t>No Pay</t>
  </si>
  <si>
    <t>Rinkesh</t>
  </si>
  <si>
    <t>Rinkesh.kmr@gmail.com</t>
  </si>
  <si>
    <t>To Resume</t>
  </si>
  <si>
    <t>Vaishali K</t>
  </si>
  <si>
    <t>Paused</t>
  </si>
  <si>
    <t>To resume from 01JAN25</t>
  </si>
  <si>
    <t>vaishalivkharat@yahoo.com</t>
  </si>
  <si>
    <t>Pause</t>
  </si>
  <si>
    <t>Narinder Singh Sachdev</t>
  </si>
  <si>
    <t>sachdevnarinder@yahoo.com</t>
  </si>
  <si>
    <t>Sunday 12pm</t>
  </si>
  <si>
    <t>Shreya S</t>
  </si>
  <si>
    <t>shreya2003samanta@gmail.com</t>
  </si>
  <si>
    <t>Sourav C</t>
  </si>
  <si>
    <t>To resume from 01FEB25</t>
  </si>
  <si>
    <t>write2schoudhury@gmail.com</t>
  </si>
  <si>
    <t>Tuesday 8-30pm</t>
  </si>
  <si>
    <t>Sanjoy M</t>
  </si>
  <si>
    <t>sanjoymukherjee74@gmail.com</t>
  </si>
  <si>
    <t>Sachin J</t>
  </si>
  <si>
    <t>Sachin_jalan@yahoo.com</t>
  </si>
  <si>
    <t>Jitendra M</t>
  </si>
  <si>
    <t>jeetjit18@gmail.com</t>
  </si>
  <si>
    <t>Rohit S</t>
  </si>
  <si>
    <t>rohits7476@gmail.com</t>
  </si>
  <si>
    <t>Santosh F</t>
  </si>
  <si>
    <t>santoshfernandes1906@gmail.com</t>
  </si>
  <si>
    <t>Subir Choudhury</t>
  </si>
  <si>
    <t>subirac33@gmail.com</t>
  </si>
  <si>
    <t>Suvajit R</t>
  </si>
  <si>
    <t>suvajit.ray@gmail.com</t>
  </si>
  <si>
    <t>Rohan K</t>
  </si>
  <si>
    <t>rohan.kotian1010@gmail.com</t>
  </si>
  <si>
    <t>Wednesday 8-30pm</t>
  </si>
  <si>
    <t>Main Page</t>
  </si>
  <si>
    <t>Remark</t>
  </si>
  <si>
    <t>Times Paid</t>
  </si>
  <si>
    <t>Months Gap</t>
  </si>
  <si>
    <t>Call Dt.</t>
  </si>
  <si>
    <t>Referee</t>
  </si>
  <si>
    <t>Expectation</t>
  </si>
  <si>
    <t>Already</t>
  </si>
  <si>
    <t>Balance</t>
  </si>
  <si>
    <t>Ishan Kotian</t>
  </si>
  <si>
    <t>Santosh</t>
  </si>
  <si>
    <t>Akshay's friend</t>
  </si>
  <si>
    <t>Akshay</t>
  </si>
  <si>
    <t>Shailendra</t>
  </si>
  <si>
    <t>Priya Motwani</t>
  </si>
  <si>
    <t>Uttam</t>
  </si>
  <si>
    <t>Revathi</t>
  </si>
  <si>
    <t>Self</t>
  </si>
  <si>
    <t>Ranjita Lodha</t>
  </si>
  <si>
    <t>Sourangshu</t>
  </si>
  <si>
    <t>Shruti</t>
  </si>
  <si>
    <t>Debasish</t>
  </si>
  <si>
    <t>Sanjoy Das</t>
  </si>
  <si>
    <t>Umesh Mondal</t>
  </si>
  <si>
    <t>From Feb'25</t>
  </si>
  <si>
    <t>Piyush Raghuwanshi</t>
  </si>
  <si>
    <t>Piyush.raghuwanshi@gmail.com</t>
  </si>
  <si>
    <t>Ajinkya</t>
  </si>
  <si>
    <t>Vishal Purohit</t>
  </si>
  <si>
    <t>Sanjit</t>
  </si>
  <si>
    <t>Swarup</t>
  </si>
  <si>
    <t>Swapnil</t>
  </si>
  <si>
    <t>Kalpesh</t>
  </si>
  <si>
    <t>Vikram Vyas</t>
  </si>
  <si>
    <t>Sumit Gupta</t>
  </si>
  <si>
    <t>Nanavati</t>
  </si>
  <si>
    <t>Aditya Chillal</t>
  </si>
  <si>
    <t>Sunil</t>
  </si>
  <si>
    <t>Monty Singh</t>
  </si>
  <si>
    <t>Prabhash</t>
  </si>
  <si>
    <t>Vara Prasad</t>
  </si>
  <si>
    <t>Santosh Chourishia</t>
  </si>
  <si>
    <t>ishankotian081@gmail.com</t>
  </si>
  <si>
    <t>Shubham</t>
  </si>
  <si>
    <t>Siddhesh</t>
  </si>
  <si>
    <t>Om Prakash Sharma</t>
  </si>
  <si>
    <t>Asmita Bhat</t>
  </si>
  <si>
    <t>Ravinder Rawal</t>
  </si>
  <si>
    <t>Confirmed</t>
  </si>
  <si>
    <t>Doubtful</t>
  </si>
  <si>
    <t>om18.felix@gmail.com</t>
  </si>
  <si>
    <t>SUNDAY 2pm</t>
  </si>
  <si>
    <t>Task</t>
  </si>
  <si>
    <t>Sub-Task</t>
  </si>
  <si>
    <t>Date of the though</t>
  </si>
  <si>
    <t>Start Date</t>
  </si>
  <si>
    <t>End Date</t>
  </si>
  <si>
    <t>Expected Outcome</t>
  </si>
  <si>
    <t>Category</t>
  </si>
  <si>
    <t>Expenses</t>
  </si>
  <si>
    <t>Acquisition</t>
  </si>
  <si>
    <t>Retention</t>
  </si>
  <si>
    <t>Engagement</t>
  </si>
  <si>
    <t>Class Followups</t>
  </si>
  <si>
    <t>Class Scheduling</t>
  </si>
  <si>
    <t>rawalravindera@gmail.com</t>
  </si>
  <si>
    <t>sid.bruins@gmail.com</t>
  </si>
  <si>
    <t>Devesh Chavan</t>
  </si>
  <si>
    <t>Niraj Tripathi</t>
  </si>
  <si>
    <t>Learning</t>
  </si>
  <si>
    <t>Preparation</t>
  </si>
  <si>
    <t>Question Paper</t>
  </si>
  <si>
    <t>Class Sessions</t>
  </si>
  <si>
    <t>Reminder for Class</t>
  </si>
  <si>
    <t>Payment Reminders</t>
  </si>
  <si>
    <t>Devesh Chauhan</t>
  </si>
  <si>
    <t>Confirmed, Paid 6999/-</t>
  </si>
  <si>
    <t>Not responding</t>
  </si>
  <si>
    <t>Send link</t>
  </si>
  <si>
    <t>F/U for payment 6999/-</t>
  </si>
  <si>
    <t>Call for email &amp; name</t>
  </si>
  <si>
    <t>Campaign</t>
  </si>
  <si>
    <t>Action Point</t>
  </si>
  <si>
    <t>Remark 2</t>
  </si>
  <si>
    <t>Send Class link</t>
  </si>
  <si>
    <t>to pay after 1st session</t>
  </si>
  <si>
    <t>Call for Kids batch, Drop</t>
  </si>
  <si>
    <t>Call again, Drop</t>
  </si>
  <si>
    <t>Lead Status</t>
  </si>
  <si>
    <t>Cold</t>
  </si>
  <si>
    <t>Siddhi Bankar</t>
  </si>
  <si>
    <t>bankarsiddhi@gmail.com</t>
  </si>
  <si>
    <t>Sakshi Pandey</t>
  </si>
  <si>
    <t>to start from February</t>
  </si>
  <si>
    <t>F/U for email id &amp; payment 6999/-</t>
  </si>
  <si>
    <t>deveshsinghchauhan01@gmail.com</t>
  </si>
  <si>
    <t>Total Regn Till Date</t>
  </si>
  <si>
    <t>Total Paid Units</t>
  </si>
  <si>
    <t>2.1.Dropped</t>
  </si>
  <si>
    <t>1.1.Live &amp; Paying</t>
  </si>
  <si>
    <t>Total Registered</t>
  </si>
  <si>
    <t>Live &amp; Paying</t>
  </si>
  <si>
    <t>Paid This Month</t>
  </si>
  <si>
    <t>Not Paid This Month</t>
  </si>
  <si>
    <t>New, Yet To Pay</t>
  </si>
  <si>
    <t>Dropped</t>
  </si>
  <si>
    <t>Break, To Resume</t>
  </si>
  <si>
    <t>Not Paying</t>
  </si>
  <si>
    <t>Dead</t>
  </si>
  <si>
    <t>soumyaamit84@gmail.com</t>
  </si>
  <si>
    <t>Soumya Verma (Amit)</t>
  </si>
  <si>
    <t>Call for confirmation</t>
  </si>
  <si>
    <t>Sneha Lembrekar</t>
  </si>
  <si>
    <t>Equiry done on whatsapp</t>
  </si>
  <si>
    <t>Remark 3</t>
  </si>
  <si>
    <t>Will call later, interested</t>
  </si>
  <si>
    <t>Pay after demo</t>
  </si>
  <si>
    <t>Not confirmed</t>
  </si>
  <si>
    <t>Kartik (Madhu's son)</t>
  </si>
  <si>
    <t>Sachin's Son/Daughter</t>
  </si>
  <si>
    <t>Own Network</t>
  </si>
  <si>
    <t>NewsInsert-05Jan25-3500</t>
  </si>
  <si>
    <t>Utkarsh Shah</t>
  </si>
  <si>
    <t>utkarshah05@gmail.com</t>
  </si>
  <si>
    <t>Bikash Shaw</t>
  </si>
  <si>
    <t>bikash242@yahoo.co.in</t>
  </si>
  <si>
    <t>Ritesh Kumar</t>
  </si>
  <si>
    <t>NewsInsert-11Jan25-3500</t>
  </si>
  <si>
    <t>Venugopal Pnakkal</t>
  </si>
  <si>
    <t>Omkar Sawant</t>
  </si>
  <si>
    <t>Rhutu Shah</t>
  </si>
  <si>
    <t>Call Classes</t>
  </si>
  <si>
    <t>Fix Meetings</t>
  </si>
  <si>
    <t>Make a Scheme/Structure : Course, duration, fees, Commission</t>
  </si>
  <si>
    <t>Start hitting</t>
  </si>
  <si>
    <t>Get meetings</t>
  </si>
  <si>
    <t>Understand the need</t>
  </si>
  <si>
    <t>Get students</t>
  </si>
  <si>
    <t>Students from Classes</t>
  </si>
  <si>
    <t>Demo for Ritesh</t>
  </si>
  <si>
    <t>Demo : Rhutu, Siddhi, Venugopal, Sneha, Om</t>
  </si>
  <si>
    <t>F/U for Demo, take dates</t>
  </si>
  <si>
    <t>Call &amp; Check today's availablity 5pm</t>
  </si>
  <si>
    <t>Excel : Statistics (2 Hours)</t>
  </si>
  <si>
    <t>Python Class - today (1 Hour)</t>
  </si>
  <si>
    <t>PowerBI : Visualizations (1 Hour)</t>
  </si>
  <si>
    <t>Python Batch (8:30pm)</t>
  </si>
  <si>
    <t>Excel book for Amit</t>
  </si>
  <si>
    <t>riteshkumar.nsn@gmail.com</t>
  </si>
  <si>
    <t>SUNDAY 5pm</t>
  </si>
  <si>
    <t>Montysingh456@gmail.com</t>
  </si>
  <si>
    <t>Drop</t>
  </si>
  <si>
    <t>Coverted</t>
  </si>
  <si>
    <t>Follow</t>
  </si>
  <si>
    <t>ssakshipandey2003@gmail.com</t>
  </si>
  <si>
    <t>To resume from 01FEB26</t>
  </si>
  <si>
    <t>Convereted</t>
  </si>
  <si>
    <t>Saturday 2pm</t>
  </si>
  <si>
    <t>Saturday 12:30pm</t>
  </si>
  <si>
    <t>SUNDAY 3-30pm</t>
  </si>
  <si>
    <t>SUNDAY 12-30pm</t>
  </si>
  <si>
    <t>SUNDAY 11am</t>
  </si>
  <si>
    <t>SUNDAY 9-30am</t>
  </si>
  <si>
    <t>Omkar Vaidya</t>
  </si>
  <si>
    <t>Business Analysis : Offline</t>
  </si>
  <si>
    <t>Sonam Anand</t>
  </si>
  <si>
    <t>sonam.anand0021@gmail.com</t>
  </si>
  <si>
    <t>Demo done, fu after a week</t>
  </si>
  <si>
    <t>omkarvaidya1@gmail.com</t>
  </si>
  <si>
    <t>Watch</t>
  </si>
  <si>
    <t>Fee 8</t>
  </si>
  <si>
    <t>Fee 9</t>
  </si>
  <si>
    <t>Doubt Red</t>
  </si>
  <si>
    <t>Doubt Green</t>
  </si>
  <si>
    <t>Already Sleep</t>
  </si>
  <si>
    <t>Already Dead</t>
  </si>
  <si>
    <t>Live - Ask Pay</t>
  </si>
  <si>
    <t>Live - To Resume (March)</t>
  </si>
  <si>
    <t>Msg Reply</t>
  </si>
  <si>
    <t>Call later</t>
  </si>
  <si>
    <t>Positive</t>
  </si>
  <si>
    <t>Live - Paid Cycle</t>
  </si>
  <si>
    <t>Live - No Pay Reqd</t>
  </si>
  <si>
    <t>Last Week</t>
  </si>
  <si>
    <t>No Response</t>
  </si>
  <si>
    <t>Called 05Mar25?</t>
  </si>
  <si>
    <t>Sanjoy Ghosh</t>
  </si>
  <si>
    <t>P1</t>
  </si>
  <si>
    <t>P2</t>
  </si>
  <si>
    <t>Shirshti Singh</t>
  </si>
  <si>
    <t>Shrishti Singh</t>
  </si>
  <si>
    <t>singh.srishti2631@hotmail.com</t>
  </si>
  <si>
    <t>Half Live</t>
  </si>
  <si>
    <t>May Revive</t>
  </si>
  <si>
    <t>Mrs Devesh Chauhan</t>
  </si>
  <si>
    <t>May Join</t>
  </si>
  <si>
    <t>g7</t>
  </si>
  <si>
    <t>Potential Batch</t>
  </si>
  <si>
    <t>Website feedback</t>
  </si>
  <si>
    <t>LinkedIn Recommendations</t>
  </si>
  <si>
    <t>Refer?</t>
  </si>
  <si>
    <t>Should I Call?</t>
  </si>
  <si>
    <t>Basic Excel, PPT</t>
  </si>
  <si>
    <t>Excel</t>
  </si>
  <si>
    <t>Vive coding</t>
  </si>
  <si>
    <t>Agentic</t>
  </si>
  <si>
    <t>L&amp;D - Chola</t>
  </si>
  <si>
    <t>Grand Total</t>
  </si>
  <si>
    <t>Rohan Sinha</t>
  </si>
  <si>
    <t>Sourav Chatterjee</t>
  </si>
  <si>
    <t>Rohan Rege</t>
  </si>
  <si>
    <t>Neeraj Kumar</t>
  </si>
  <si>
    <t>Anupam Pal</t>
  </si>
  <si>
    <t>Joydip Sen</t>
  </si>
  <si>
    <t>Sannjoy Biswas</t>
  </si>
  <si>
    <t>Prior Student?</t>
  </si>
  <si>
    <t>Dipankar</t>
  </si>
  <si>
    <t>Stuti Upreti</t>
  </si>
  <si>
    <t>Must Call</t>
  </si>
  <si>
    <t>Prashant Singh</t>
  </si>
  <si>
    <t>Class Start Remark</t>
  </si>
  <si>
    <t>Class Start?</t>
  </si>
  <si>
    <t>November onwards may join</t>
  </si>
  <si>
    <t>Ashish Suvarna</t>
  </si>
  <si>
    <t>Soniya Jha</t>
  </si>
  <si>
    <t>31Aug batch</t>
  </si>
  <si>
    <t>17Aug Excel batch</t>
  </si>
  <si>
    <t>17Aug batch</t>
  </si>
  <si>
    <t>Will continue the excel batch</t>
  </si>
  <si>
    <t>31st batch - PAID4</t>
  </si>
  <si>
    <t>Not decided</t>
  </si>
  <si>
    <t>Existing</t>
  </si>
  <si>
    <t>Anuradha Mudgal</t>
  </si>
  <si>
    <t>31st batch - PAID1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</si>
</sst>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8" x14ac:knownFonts="1">
    <font>
      <sz val="11"/>
      <color theme="1"/>
      <name val="Calibri"/>
      <family val="2"/>
      <scheme val="minor"/>
    </font>
    <font>
      <sz val="11"/>
      <color rgb="FFFF0000"/>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sz val="22"/>
      <color theme="8"/>
      <name val="Calibri"/>
      <family val="2"/>
      <scheme val="minor"/>
    </font>
    <font>
      <sz val="24"/>
      <color rgb="FFFF0000"/>
      <name val="Calibri"/>
      <family val="2"/>
      <scheme val="minor"/>
    </font>
    <font>
      <b/>
      <sz val="11"/>
      <color theme="1"/>
      <name val="Calibri"/>
      <family val="2"/>
      <scheme val="minor"/>
    </font>
    <font>
      <sz val="10"/>
      <name val="Calibri"/>
      <family val="2"/>
      <scheme val="minor"/>
    </font>
    <font>
      <sz val="8"/>
      <name val="Calibri"/>
      <family val="2"/>
      <scheme val="minor"/>
    </font>
    <font>
      <sz val="9"/>
      <color theme="1"/>
      <name val="Calibri"/>
      <family val="2"/>
      <scheme val="minor"/>
    </font>
    <font>
      <sz val="11"/>
      <name val="Calibri"/>
      <family val="2"/>
      <scheme val="minor"/>
    </font>
    <font>
      <b/>
      <sz val="11"/>
      <name val="Calibri"/>
      <family val="2"/>
      <scheme val="minor"/>
    </font>
    <font>
      <sz val="22"/>
      <name val="Calibri"/>
      <family val="2"/>
      <scheme val="minor"/>
    </font>
    <font>
      <sz val="18"/>
      <name val="Calibri"/>
      <family val="2"/>
      <scheme val="minor"/>
    </font>
    <font>
      <sz val="12"/>
      <name val="Calibri"/>
      <family val="2"/>
      <scheme val="minor"/>
    </font>
    <font>
      <sz val="11"/>
      <color theme="0"/>
      <name val="Calibri"/>
      <family val="2"/>
      <scheme val="minor"/>
    </font>
    <font>
      <b/>
      <u/>
      <sz val="11"/>
      <color theme="1"/>
      <name val="Calibri"/>
      <family val="2"/>
      <scheme val="minor"/>
    </font>
    <font>
      <b/>
      <sz val="16"/>
      <color theme="1"/>
      <name val="Calibri"/>
      <family val="2"/>
      <scheme val="minor"/>
    </font>
    <font>
      <b/>
      <u/>
      <sz val="11"/>
      <color rgb="FFFF0000"/>
      <name val="Calibri"/>
      <family val="2"/>
      <scheme val="minor"/>
    </font>
    <font>
      <u/>
      <sz val="11"/>
      <color theme="10"/>
      <name val="Calibri"/>
      <family val="2"/>
      <scheme val="minor"/>
    </font>
    <font>
      <u/>
      <sz val="11"/>
      <color theme="0"/>
      <name val="Calibri"/>
      <family val="2"/>
      <scheme val="minor"/>
    </font>
    <font>
      <u/>
      <sz val="11"/>
      <color theme="1"/>
      <name val="Calibri"/>
      <family val="2"/>
      <scheme val="minor"/>
    </font>
    <font>
      <sz val="11"/>
      <color theme="6" tint="0.79998168889431442"/>
      <name val="Calibri"/>
      <family val="2"/>
      <scheme val="minor"/>
    </font>
    <font>
      <b/>
      <u/>
      <sz val="10"/>
      <color theme="1"/>
      <name val="Calibri"/>
      <family val="2"/>
      <scheme val="minor"/>
    </font>
    <font>
      <strike/>
      <sz val="11"/>
      <color theme="1"/>
      <name val="Calibri"/>
      <family val="2"/>
      <scheme val="minor"/>
    </font>
    <font>
      <sz val="9"/>
      <color indexed="81"/>
      <name val="Tahoma"/>
      <family val="2"/>
    </font>
    <font>
      <b/>
      <sz val="9"/>
      <color indexed="81"/>
      <name val="Tahoma"/>
      <family val="2"/>
    </font>
    <font>
      <b/>
      <u/>
      <sz val="10"/>
      <name val="Calibri"/>
      <family val="2"/>
      <scheme val="minor"/>
    </font>
    <font>
      <u/>
      <sz val="10"/>
      <color theme="1"/>
      <name val="Calibri"/>
      <family val="2"/>
      <scheme val="minor"/>
    </font>
    <font>
      <sz val="16"/>
      <color theme="1"/>
      <name val="Calibri"/>
      <family val="2"/>
      <scheme val="minor"/>
    </font>
    <font>
      <sz val="11"/>
      <color theme="1"/>
      <name val="Calibri"/>
      <family val="2"/>
      <scheme val="minor"/>
    </font>
    <font>
      <sz val="14"/>
      <color theme="1"/>
      <name val="Calibri"/>
      <family val="2"/>
      <scheme val="minor"/>
    </font>
    <font>
      <sz val="24"/>
      <color theme="1"/>
      <name val="Calibri"/>
      <family val="2"/>
      <scheme val="minor"/>
    </font>
    <font>
      <b/>
      <sz val="11"/>
      <color rgb="FFFF0000"/>
      <name val="Calibri"/>
      <family val="2"/>
      <scheme val="minor"/>
    </font>
    <font>
      <u/>
      <sz val="14"/>
      <color theme="1"/>
      <name val="Calibri"/>
      <family val="2"/>
      <scheme val="minor"/>
    </font>
    <font>
      <b/>
      <sz val="12"/>
      <color theme="1"/>
      <name val="Calibri"/>
      <family val="2"/>
      <scheme val="minor"/>
    </font>
    <font>
      <sz val="18"/>
      <color theme="1"/>
      <name val="Calibri"/>
      <family val="2"/>
      <scheme val="minor"/>
    </font>
  </fonts>
  <fills count="19">
    <fill>
      <patternFill patternType="none"/>
    </fill>
    <fill>
      <patternFill patternType="gray125"/>
    </fill>
    <fill>
      <patternFill patternType="solid">
        <fgColor theme="4" tint="0.39997558519241921"/>
        <bgColor indexed="64"/>
      </patternFill>
    </fill>
    <fill>
      <patternFill patternType="solid">
        <fgColor theme="1"/>
        <bgColor indexed="64"/>
      </patternFill>
    </fill>
    <fill>
      <patternFill patternType="solid">
        <fgColor rgb="FFC00000"/>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FF9966"/>
        <bgColor indexed="64"/>
      </patternFill>
    </fill>
    <fill>
      <patternFill patternType="solid">
        <fgColor theme="2"/>
        <bgColor indexed="64"/>
      </patternFill>
    </fill>
    <fill>
      <patternFill patternType="solid">
        <fgColor rgb="FFFE8F8C"/>
        <bgColor indexed="64"/>
      </patternFill>
    </fill>
    <fill>
      <patternFill patternType="solid">
        <fgColor theme="7" tint="0.59999389629810485"/>
        <bgColor indexed="64"/>
      </patternFill>
    </fill>
    <fill>
      <patternFill patternType="solid">
        <fgColor rgb="FFFF66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8181"/>
        <bgColor indexed="64"/>
      </patternFill>
    </fill>
    <fill>
      <patternFill patternType="solid">
        <fgColor rgb="FF92D050"/>
        <bgColor indexed="64"/>
      </patternFill>
    </fill>
  </fills>
  <borders count="28">
    <border>
      <left/>
      <right/>
      <top/>
      <bottom/>
      <diagonal/>
    </border>
    <border>
      <left/>
      <right/>
      <top/>
      <bottom style="thin">
        <color indexed="64"/>
      </bottom>
      <diagonal/>
    </border>
    <border>
      <left style="thin">
        <color theme="9"/>
      </left>
      <right style="thin">
        <color theme="9"/>
      </right>
      <top style="thin">
        <color theme="9"/>
      </top>
      <bottom style="medium">
        <color theme="9"/>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medium">
        <color indexed="64"/>
      </top>
      <bottom/>
      <diagonal/>
    </border>
    <border>
      <left/>
      <right style="thin">
        <color auto="1"/>
      </right>
      <top style="thin">
        <color auto="1"/>
      </top>
      <bottom style="medium">
        <color indexed="64"/>
      </bottom>
      <diagonal/>
    </border>
    <border>
      <left style="thin">
        <color auto="1"/>
      </left>
      <right style="thin">
        <color auto="1"/>
      </right>
      <top style="medium">
        <color indexed="64"/>
      </top>
      <bottom/>
      <diagonal/>
    </border>
    <border>
      <left style="thin">
        <color auto="1"/>
      </left>
      <right style="thin">
        <color auto="1"/>
      </right>
      <top style="thin">
        <color auto="1"/>
      </top>
      <bottom style="medium">
        <color indexed="64"/>
      </bottom>
      <diagonal/>
    </border>
    <border>
      <left/>
      <right style="medium">
        <color indexed="64"/>
      </right>
      <top style="medium">
        <color indexed="64"/>
      </top>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auto="1"/>
      </top>
      <bottom style="thin">
        <color auto="1"/>
      </bottom>
      <diagonal/>
    </border>
    <border>
      <left/>
      <right/>
      <top style="thin">
        <color auto="1"/>
      </top>
      <bottom style="medium">
        <color indexed="64"/>
      </bottom>
      <diagonal/>
    </border>
    <border>
      <left/>
      <right/>
      <top style="medium">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3">
    <xf numFmtId="0" fontId="0" fillId="0" borderId="0"/>
    <xf numFmtId="0" fontId="20" fillId="0" borderId="0" applyNumberFormat="0" applyFill="0" applyBorder="0" applyAlignment="0" applyProtection="0"/>
    <xf numFmtId="9" fontId="31" fillId="0" borderId="0" applyFont="0" applyFill="0" applyBorder="0" applyAlignment="0" applyProtection="0"/>
  </cellStyleXfs>
  <cellXfs count="127">
    <xf numFmtId="0" fontId="0" fillId="0" borderId="0" xfId="0"/>
    <xf numFmtId="0" fontId="2" fillId="2" borderId="0" xfId="0" applyFont="1" applyFill="1"/>
    <xf numFmtId="0" fontId="2" fillId="0" borderId="0" xfId="0" applyFont="1"/>
    <xf numFmtId="0" fontId="0" fillId="0" borderId="0" xfId="0" applyAlignment="1">
      <alignment horizontal="center"/>
    </xf>
    <xf numFmtId="0" fontId="1" fillId="0" borderId="0" xfId="0" applyFont="1" applyAlignment="1">
      <alignment horizontal="center"/>
    </xf>
    <xf numFmtId="1" fontId="3" fillId="0" borderId="0" xfId="0" applyNumberFormat="1" applyFont="1" applyAlignment="1">
      <alignment horizontal="center"/>
    </xf>
    <xf numFmtId="0" fontId="3" fillId="4" borderId="0" xfId="0" applyFont="1" applyFill="1" applyAlignment="1">
      <alignment horizontal="center"/>
    </xf>
    <xf numFmtId="0" fontId="0" fillId="5" borderId="0" xfId="0" applyFill="1" applyAlignment="1">
      <alignment horizontal="center"/>
    </xf>
    <xf numFmtId="1" fontId="4" fillId="0" borderId="0" xfId="0" applyNumberFormat="1" applyFont="1"/>
    <xf numFmtId="0" fontId="4" fillId="0" borderId="0" xfId="0" applyFont="1"/>
    <xf numFmtId="0" fontId="5" fillId="3" borderId="0" xfId="0" applyFont="1" applyFill="1" applyAlignment="1">
      <alignment horizontal="center" vertical="center"/>
    </xf>
    <xf numFmtId="0" fontId="2" fillId="2" borderId="0" xfId="0" applyFont="1" applyFill="1" applyAlignment="1">
      <alignment horizontal="center"/>
    </xf>
    <xf numFmtId="1" fontId="2" fillId="0" borderId="0" xfId="0" applyNumberFormat="1" applyFont="1" applyAlignment="1">
      <alignment horizontal="center"/>
    </xf>
    <xf numFmtId="0" fontId="7" fillId="0" borderId="0" xfId="0" applyFont="1" applyAlignment="1">
      <alignment horizontal="center"/>
    </xf>
    <xf numFmtId="1" fontId="4" fillId="0" borderId="0" xfId="0" applyNumberFormat="1" applyFont="1" applyAlignment="1">
      <alignment horizontal="center"/>
    </xf>
    <xf numFmtId="16" fontId="4" fillId="0" borderId="0" xfId="0" applyNumberFormat="1" applyFont="1" applyAlignment="1">
      <alignment horizontal="center"/>
    </xf>
    <xf numFmtId="0" fontId="4" fillId="0" borderId="0" xfId="0" applyFont="1" applyAlignment="1">
      <alignment horizontal="center"/>
    </xf>
    <xf numFmtId="0" fontId="4" fillId="6" borderId="0" xfId="0" applyFont="1" applyFill="1"/>
    <xf numFmtId="0" fontId="8" fillId="0" borderId="0" xfId="0" applyFont="1" applyAlignment="1">
      <alignment horizontal="center"/>
    </xf>
    <xf numFmtId="0" fontId="0" fillId="8" borderId="0" xfId="0" applyFill="1"/>
    <xf numFmtId="0" fontId="0" fillId="8" borderId="0" xfId="0" applyFill="1" applyAlignment="1">
      <alignment horizontal="center"/>
    </xf>
    <xf numFmtId="16" fontId="0" fillId="0" borderId="0" xfId="0" applyNumberFormat="1" applyAlignment="1">
      <alignment horizontal="center"/>
    </xf>
    <xf numFmtId="0" fontId="4" fillId="7" borderId="0" xfId="0" applyFont="1" applyFill="1"/>
    <xf numFmtId="0" fontId="4" fillId="5" borderId="0" xfId="0" applyFont="1" applyFill="1"/>
    <xf numFmtId="9" fontId="4" fillId="0" borderId="0" xfId="0" applyNumberFormat="1" applyFont="1" applyAlignment="1">
      <alignment horizontal="center"/>
    </xf>
    <xf numFmtId="0" fontId="2" fillId="6" borderId="0" xfId="0" applyFont="1" applyFill="1"/>
    <xf numFmtId="0" fontId="10" fillId="0" borderId="0" xfId="0" applyFont="1" applyAlignment="1">
      <alignment horizontal="center"/>
    </xf>
    <xf numFmtId="0" fontId="0" fillId="3" borderId="0" xfId="0" applyFill="1" applyAlignment="1">
      <alignment horizontal="center"/>
    </xf>
    <xf numFmtId="0" fontId="0" fillId="3" borderId="0" xfId="0" applyFill="1"/>
    <xf numFmtId="0" fontId="11" fillId="3" borderId="0" xfId="0" applyFont="1" applyFill="1" applyAlignment="1">
      <alignment horizontal="center" vertical="center"/>
    </xf>
    <xf numFmtId="0" fontId="12" fillId="3" borderId="0" xfId="0" applyFont="1" applyFill="1" applyAlignment="1">
      <alignment horizontal="center" vertical="center" wrapText="1"/>
    </xf>
    <xf numFmtId="0" fontId="13" fillId="3" borderId="0" xfId="0" applyFont="1" applyFill="1" applyAlignment="1">
      <alignment horizontal="center" vertical="center"/>
    </xf>
    <xf numFmtId="0" fontId="14" fillId="3" borderId="0" xfId="0" applyFont="1" applyFill="1" applyAlignment="1">
      <alignment horizontal="center" vertical="center"/>
    </xf>
    <xf numFmtId="0" fontId="15" fillId="3" borderId="0" xfId="0" applyFont="1" applyFill="1" applyAlignment="1">
      <alignment horizontal="center" vertical="center"/>
    </xf>
    <xf numFmtId="14" fontId="0" fillId="0" borderId="0" xfId="0" applyNumberFormat="1"/>
    <xf numFmtId="0" fontId="7" fillId="0" borderId="0" xfId="0" applyFont="1"/>
    <xf numFmtId="0" fontId="8" fillId="0" borderId="0" xfId="0" applyFont="1"/>
    <xf numFmtId="0" fontId="16" fillId="3" borderId="0" xfId="0" applyFont="1" applyFill="1" applyAlignment="1">
      <alignment horizontal="center"/>
    </xf>
    <xf numFmtId="16" fontId="2" fillId="0" borderId="0" xfId="0" applyNumberFormat="1" applyFont="1" applyAlignment="1">
      <alignment horizontal="center"/>
    </xf>
    <xf numFmtId="0" fontId="17" fillId="0" borderId="0" xfId="0" applyFont="1"/>
    <xf numFmtId="0" fontId="0" fillId="9" borderId="0" xfId="0" applyFill="1"/>
    <xf numFmtId="0" fontId="0" fillId="9" borderId="0" xfId="0" applyFill="1" applyAlignment="1">
      <alignment horizontal="center"/>
    </xf>
    <xf numFmtId="0" fontId="18" fillId="10" borderId="0" xfId="0" applyFont="1" applyFill="1" applyAlignment="1">
      <alignment horizontal="center"/>
    </xf>
    <xf numFmtId="0" fontId="19" fillId="0" borderId="0" xfId="0" applyFont="1"/>
    <xf numFmtId="0" fontId="18" fillId="12" borderId="0" xfId="0" applyFont="1" applyFill="1" applyAlignment="1">
      <alignment horizontal="center"/>
    </xf>
    <xf numFmtId="0" fontId="18" fillId="11" borderId="0" xfId="0" applyFont="1" applyFill="1" applyAlignment="1">
      <alignment horizontal="center"/>
    </xf>
    <xf numFmtId="0" fontId="6" fillId="3" borderId="0" xfId="1" applyFont="1" applyFill="1" applyAlignment="1">
      <alignment horizontal="center"/>
    </xf>
    <xf numFmtId="0" fontId="21" fillId="3" borderId="0" xfId="1" applyFont="1" applyFill="1" applyAlignment="1">
      <alignment horizontal="center" vertical="center"/>
    </xf>
    <xf numFmtId="0" fontId="23" fillId="0" borderId="0" xfId="0" applyFont="1" applyAlignment="1">
      <alignment horizontal="center"/>
    </xf>
    <xf numFmtId="0" fontId="24" fillId="0" borderId="0" xfId="0" applyFont="1"/>
    <xf numFmtId="0" fontId="0" fillId="14" borderId="0" xfId="0" applyFill="1"/>
    <xf numFmtId="0" fontId="7" fillId="14" borderId="0" xfId="0" applyFont="1" applyFill="1"/>
    <xf numFmtId="0" fontId="4" fillId="13" borderId="0" xfId="0" applyFont="1" applyFill="1"/>
    <xf numFmtId="0" fontId="0" fillId="15" borderId="0" xfId="0" applyFill="1"/>
    <xf numFmtId="0" fontId="1" fillId="0" borderId="0" xfId="0" applyFont="1"/>
    <xf numFmtId="15" fontId="4" fillId="0" borderId="0" xfId="0" applyNumberFormat="1" applyFont="1"/>
    <xf numFmtId="0" fontId="0" fillId="15" borderId="1" xfId="0" applyFill="1" applyBorder="1"/>
    <xf numFmtId="0" fontId="25" fillId="0" borderId="0" xfId="0" applyFont="1"/>
    <xf numFmtId="0" fontId="0" fillId="16" borderId="0" xfId="0" applyFill="1"/>
    <xf numFmtId="0" fontId="22" fillId="16" borderId="0" xfId="0" applyFont="1" applyFill="1"/>
    <xf numFmtId="0" fontId="22" fillId="5" borderId="0" xfId="0" applyFont="1" applyFill="1"/>
    <xf numFmtId="0" fontId="0" fillId="5" borderId="0" xfId="0" applyFill="1"/>
    <xf numFmtId="0" fontId="17" fillId="14" borderId="0" xfId="0" applyFont="1" applyFill="1"/>
    <xf numFmtId="0" fontId="0" fillId="7" borderId="0" xfId="0" applyFill="1"/>
    <xf numFmtId="0" fontId="22" fillId="0" borderId="0" xfId="0" applyFont="1"/>
    <xf numFmtId="0" fontId="17" fillId="7" borderId="0" xfId="0" applyFont="1" applyFill="1"/>
    <xf numFmtId="0" fontId="11" fillId="0" borderId="0" xfId="0" applyFont="1" applyAlignment="1">
      <alignment horizontal="center"/>
    </xf>
    <xf numFmtId="0" fontId="7" fillId="15" borderId="2" xfId="0" applyFont="1" applyFill="1" applyBorder="1"/>
    <xf numFmtId="0" fontId="28" fillId="0" borderId="0" xfId="0" applyFont="1"/>
    <xf numFmtId="0" fontId="29" fillId="7" borderId="0" xfId="0" applyFont="1" applyFill="1"/>
    <xf numFmtId="0" fontId="30" fillId="0" borderId="0" xfId="0" applyFont="1" applyAlignment="1">
      <alignment horizontal="center"/>
    </xf>
    <xf numFmtId="0" fontId="33" fillId="0" borderId="0" xfId="0" applyFont="1"/>
    <xf numFmtId="9" fontId="0" fillId="0" borderId="0" xfId="2" applyFont="1"/>
    <xf numFmtId="0" fontId="0" fillId="0" borderId="18" xfId="0" applyBorder="1"/>
    <xf numFmtId="0" fontId="32" fillId="0" borderId="15" xfId="0" applyFont="1" applyBorder="1"/>
    <xf numFmtId="0" fontId="33" fillId="0" borderId="19" xfId="0" applyFont="1" applyBorder="1"/>
    <xf numFmtId="0" fontId="33" fillId="0" borderId="20" xfId="0" applyFont="1" applyBorder="1"/>
    <xf numFmtId="0" fontId="0" fillId="15" borderId="4" xfId="0" applyFill="1" applyBorder="1" applyAlignment="1">
      <alignment horizontal="center"/>
    </xf>
    <xf numFmtId="0" fontId="0" fillId="15" borderId="3" xfId="0" applyFill="1" applyBorder="1" applyAlignment="1">
      <alignment horizontal="center"/>
    </xf>
    <xf numFmtId="0" fontId="0" fillId="15" borderId="8" xfId="0" applyFill="1" applyBorder="1" applyAlignment="1">
      <alignment horizontal="center"/>
    </xf>
    <xf numFmtId="0" fontId="0" fillId="15" borderId="16" xfId="0" applyFill="1" applyBorder="1" applyAlignment="1">
      <alignment horizontal="center"/>
    </xf>
    <xf numFmtId="0" fontId="0" fillId="15" borderId="12" xfId="0" applyFill="1" applyBorder="1" applyAlignment="1">
      <alignment horizontal="center"/>
    </xf>
    <xf numFmtId="0" fontId="0" fillId="15" borderId="14" xfId="0" applyFill="1" applyBorder="1" applyAlignment="1">
      <alignment horizontal="center"/>
    </xf>
    <xf numFmtId="0" fontId="0" fillId="15" borderId="10" xfId="0" applyFill="1" applyBorder="1" applyAlignment="1">
      <alignment horizontal="center"/>
    </xf>
    <xf numFmtId="0" fontId="0" fillId="15" borderId="17" xfId="0" applyFill="1" applyBorder="1" applyAlignment="1">
      <alignment horizontal="center"/>
    </xf>
    <xf numFmtId="0" fontId="0" fillId="9" borderId="4" xfId="0" applyFill="1" applyBorder="1" applyAlignment="1">
      <alignment horizontal="center"/>
    </xf>
    <xf numFmtId="0" fontId="0" fillId="9" borderId="8" xfId="0" applyFill="1" applyBorder="1" applyAlignment="1">
      <alignment horizontal="center"/>
    </xf>
    <xf numFmtId="0" fontId="0" fillId="9" borderId="12" xfId="0" applyFill="1" applyBorder="1" applyAlignment="1">
      <alignment horizontal="center"/>
    </xf>
    <xf numFmtId="0" fontId="0" fillId="9" borderId="10" xfId="0" applyFill="1" applyBorder="1" applyAlignment="1">
      <alignment horizontal="center"/>
    </xf>
    <xf numFmtId="0" fontId="0" fillId="17" borderId="7" xfId="0" applyFill="1" applyBorder="1" applyAlignment="1">
      <alignment horizontal="center"/>
    </xf>
    <xf numFmtId="0" fontId="0" fillId="17" borderId="8" xfId="0" applyFill="1" applyBorder="1" applyAlignment="1">
      <alignment horizontal="center"/>
    </xf>
    <xf numFmtId="0" fontId="0" fillId="17" borderId="9" xfId="0" applyFill="1" applyBorder="1" applyAlignment="1">
      <alignment horizontal="center"/>
    </xf>
    <xf numFmtId="0" fontId="0" fillId="17" borderId="10" xfId="0" applyFill="1" applyBorder="1" applyAlignment="1">
      <alignment horizontal="center"/>
    </xf>
    <xf numFmtId="0" fontId="0" fillId="0" borderId="4" xfId="0" applyBorder="1"/>
    <xf numFmtId="0" fontId="0" fillId="0" borderId="21" xfId="0" applyBorder="1" applyAlignment="1">
      <alignment horizontal="center"/>
    </xf>
    <xf numFmtId="0" fontId="0" fillId="0" borderId="22" xfId="0" applyBorder="1" applyAlignment="1">
      <alignment horizont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24" xfId="0" applyBorder="1"/>
    <xf numFmtId="0" fontId="0" fillId="0" borderId="25" xfId="0" applyBorder="1"/>
    <xf numFmtId="0" fontId="2" fillId="2" borderId="0" xfId="0" applyFont="1" applyFill="1" applyAlignment="1">
      <alignment vertical="top"/>
    </xf>
    <xf numFmtId="0" fontId="0" fillId="0" borderId="0" xfId="0" applyAlignment="1">
      <alignment vertical="top"/>
    </xf>
    <xf numFmtId="0" fontId="0" fillId="12" borderId="5" xfId="0" applyFill="1" applyBorder="1" applyAlignment="1">
      <alignment vertical="top"/>
    </xf>
    <xf numFmtId="0" fontId="0" fillId="12" borderId="6" xfId="0" applyFill="1" applyBorder="1" applyAlignment="1">
      <alignment vertical="top"/>
    </xf>
    <xf numFmtId="0" fontId="0" fillId="9" borderId="11" xfId="0" applyFill="1" applyBorder="1" applyAlignment="1">
      <alignment vertical="top"/>
    </xf>
    <xf numFmtId="0" fontId="0" fillId="9" borderId="6" xfId="0" applyFill="1" applyBorder="1" applyAlignment="1">
      <alignment vertical="top"/>
    </xf>
    <xf numFmtId="0" fontId="0" fillId="2" borderId="11" xfId="0" applyFill="1" applyBorder="1" applyAlignment="1">
      <alignment vertical="top"/>
    </xf>
    <xf numFmtId="0" fontId="0" fillId="2" borderId="13" xfId="0" applyFill="1" applyBorder="1" applyAlignment="1">
      <alignment vertical="top"/>
    </xf>
    <xf numFmtId="0" fontId="0" fillId="2" borderId="6" xfId="0" applyFill="1" applyBorder="1" applyAlignment="1">
      <alignment vertical="top"/>
    </xf>
    <xf numFmtId="0" fontId="0" fillId="2" borderId="15" xfId="0" applyFill="1" applyBorder="1" applyAlignment="1">
      <alignment vertical="top"/>
    </xf>
    <xf numFmtId="0" fontId="0" fillId="5" borderId="23" xfId="0" applyFill="1" applyBorder="1" applyAlignment="1">
      <alignment horizontal="center" vertical="top"/>
    </xf>
    <xf numFmtId="0" fontId="34" fillId="2" borderId="26" xfId="0" applyFont="1" applyFill="1" applyBorder="1" applyAlignment="1">
      <alignment vertical="top"/>
    </xf>
    <xf numFmtId="0" fontId="34" fillId="2" borderId="27" xfId="0" applyFont="1" applyFill="1" applyBorder="1" applyAlignment="1">
      <alignment vertical="top"/>
    </xf>
    <xf numFmtId="0" fontId="0" fillId="7" borderId="4" xfId="0" applyFill="1" applyBorder="1" applyAlignment="1">
      <alignment vertical="top"/>
    </xf>
    <xf numFmtId="0" fontId="20" fillId="0" borderId="0" xfId="1"/>
    <xf numFmtId="0" fontId="35" fillId="0" borderId="0" xfId="0" applyFont="1" applyAlignment="1">
      <alignment horizontal="center"/>
    </xf>
    <xf numFmtId="0" fontId="36" fillId="0" borderId="0" xfId="0" applyFont="1" applyAlignment="1">
      <alignment horizontal="center"/>
    </xf>
    <xf numFmtId="0" fontId="0" fillId="0" borderId="3" xfId="0" applyBorder="1"/>
    <xf numFmtId="0" fontId="37" fillId="0" borderId="0" xfId="0" applyFont="1" applyAlignment="1">
      <alignment horizontal="center"/>
    </xf>
    <xf numFmtId="0" fontId="2" fillId="2" borderId="3" xfId="0" applyFont="1" applyFill="1" applyBorder="1" applyAlignment="1">
      <alignment vertical="top"/>
    </xf>
    <xf numFmtId="0" fontId="0" fillId="15" borderId="3" xfId="0" applyFill="1" applyBorder="1" applyAlignment="1">
      <alignment vertical="top"/>
    </xf>
    <xf numFmtId="0" fontId="0" fillId="0" borderId="0" xfId="0" pivotButton="1"/>
    <xf numFmtId="0" fontId="7" fillId="7" borderId="3" xfId="0" applyFont="1" applyFill="1" applyBorder="1"/>
    <xf numFmtId="0" fontId="7" fillId="18" borderId="3" xfId="0" applyFont="1" applyFill="1" applyBorder="1"/>
    <xf numFmtId="0" fontId="7" fillId="11" borderId="3" xfId="0" applyFont="1" applyFill="1" applyBorder="1"/>
  </cellXfs>
  <cellStyles count="3">
    <cellStyle name="Hyperlink" xfId="1" builtinId="8"/>
    <cellStyle name="Normal" xfId="0" builtinId="0"/>
    <cellStyle name="Per cent" xfId="2" builtinId="5"/>
  </cellStyles>
  <dxfs count="18">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59996337778862885"/>
        </patternFill>
      </fill>
    </dxf>
    <dxf>
      <fill>
        <patternFill>
          <bgColor rgb="FFFE8F8C"/>
        </patternFill>
      </fill>
    </dxf>
    <dxf>
      <fill>
        <patternFill>
          <bgColor rgb="FFFF9966"/>
        </patternFill>
      </fill>
    </dxf>
    <dxf>
      <border>
        <left style="thin">
          <color auto="1"/>
        </left>
        <right style="thin">
          <color auto="1"/>
        </right>
        <top style="thin">
          <color auto="1"/>
        </top>
        <bottom style="thin">
          <color auto="1"/>
        </bottom>
        <vertical/>
        <horizontal/>
      </border>
    </dxf>
    <dxf>
      <fill>
        <patternFill>
          <bgColor rgb="FFFF9966"/>
        </patternFill>
      </fill>
    </dxf>
    <dxf>
      <fill>
        <patternFill>
          <bgColor rgb="FF92D05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FF0000"/>
        </patternFill>
      </fill>
    </dxf>
    <dxf>
      <font>
        <b/>
        <i val="0"/>
        <color theme="0"/>
      </font>
      <fill>
        <patternFill>
          <bgColor rgb="FFFF0000"/>
        </patternFill>
      </fill>
    </dxf>
    <dxf>
      <fill>
        <patternFill>
          <bgColor rgb="FFFF9966"/>
        </patternFill>
      </fill>
    </dxf>
    <dxf>
      <fill>
        <patternFill>
          <bgColor rgb="FF92D050"/>
        </patternFill>
      </fill>
    </dxf>
    <dxf>
      <border>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dxf>
    <dxf>
      <fill>
        <patternFill patternType="solid">
          <fgColor indexed="64"/>
          <bgColor theme="4" tint="0.79998168889431442"/>
        </patternFill>
      </fill>
    </dxf>
  </dxfs>
  <tableStyles count="1" defaultTableStyle="TableStyleMedium2" defaultPivotStyle="PivotStyleLight16">
    <tableStyle name="Invisible" pivot="0" table="0" count="0" xr9:uid="{F59E1D25-F5C4-415E-A2EB-30F1AEC8C748}"/>
  </tableStyles>
  <colors>
    <mruColors>
      <color rgb="FFFE8F8C"/>
      <color rgb="FFFF8181"/>
      <color rgb="FFFF9966"/>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ofPieChart>
        <c:ofPieType val="pie"/>
        <c:varyColors val="1"/>
        <c:ser>
          <c:idx val="0"/>
          <c:order val="0"/>
          <c:spPr>
            <a:effectLst>
              <a:outerShdw blurRad="63500" sx="102000" sy="102000" algn="ctr" rotWithShape="0">
                <a:prstClr val="black">
                  <a:alpha val="40000"/>
                </a:prstClr>
              </a:outerShdw>
              <a:softEdge rad="50800"/>
            </a:effectLst>
          </c:spPr>
          <c:dPt>
            <c:idx val="0"/>
            <c:bubble3D val="0"/>
            <c:spPr>
              <a:solidFill>
                <a:srgbClr val="FFC000"/>
              </a:solidFill>
              <a:ln>
                <a:noFill/>
              </a:ln>
              <a:effectLst>
                <a:outerShdw blurRad="63500" sx="102000" sy="102000" algn="ctr" rotWithShape="0">
                  <a:prstClr val="black">
                    <a:alpha val="40000"/>
                  </a:prstClr>
                </a:outerShdw>
                <a:softEdge rad="50800"/>
              </a:effectLst>
            </c:spPr>
            <c:extLst>
              <c:ext xmlns:c16="http://schemas.microsoft.com/office/drawing/2014/chart" uri="{C3380CC4-5D6E-409C-BE32-E72D297353CC}">
                <c16:uniqueId val="{00000001-42E7-4580-81AC-CA0C46E71E31}"/>
              </c:ext>
            </c:extLst>
          </c:dPt>
          <c:dPt>
            <c:idx val="1"/>
            <c:bubble3D val="0"/>
            <c:spPr>
              <a:solidFill>
                <a:srgbClr val="FF0000"/>
              </a:solidFill>
              <a:ln>
                <a:noFill/>
              </a:ln>
              <a:effectLst>
                <a:outerShdw blurRad="63500" sx="102000" sy="102000" algn="ctr" rotWithShape="0">
                  <a:prstClr val="black">
                    <a:alpha val="40000"/>
                  </a:prstClr>
                </a:outerShdw>
                <a:softEdge rad="50800"/>
              </a:effectLst>
            </c:spPr>
            <c:extLst>
              <c:ext xmlns:c16="http://schemas.microsoft.com/office/drawing/2014/chart" uri="{C3380CC4-5D6E-409C-BE32-E72D297353CC}">
                <c16:uniqueId val="{00000003-42E7-4580-81AC-CA0C46E71E31}"/>
              </c:ext>
            </c:extLst>
          </c:dPt>
          <c:dPt>
            <c:idx val="2"/>
            <c:bubble3D val="0"/>
            <c:spPr>
              <a:solidFill>
                <a:srgbClr val="FFFF00"/>
              </a:solidFill>
              <a:ln>
                <a:noFill/>
              </a:ln>
              <a:effectLst>
                <a:outerShdw blurRad="63500" sx="102000" sy="102000" algn="ctr" rotWithShape="0">
                  <a:prstClr val="black">
                    <a:alpha val="40000"/>
                  </a:prstClr>
                </a:outerShdw>
                <a:softEdge rad="50800"/>
              </a:effectLst>
            </c:spPr>
            <c:extLst>
              <c:ext xmlns:c16="http://schemas.microsoft.com/office/drawing/2014/chart" uri="{C3380CC4-5D6E-409C-BE32-E72D297353CC}">
                <c16:uniqueId val="{00000005-42E7-4580-81AC-CA0C46E71E31}"/>
              </c:ext>
            </c:extLst>
          </c:dPt>
          <c:dPt>
            <c:idx val="3"/>
            <c:bubble3D val="0"/>
            <c:spPr>
              <a:solidFill>
                <a:schemeClr val="accent4"/>
              </a:solidFill>
              <a:ln>
                <a:noFill/>
              </a:ln>
              <a:effectLst>
                <a:outerShdw blurRad="63500" sx="102000" sy="102000" algn="ctr" rotWithShape="0">
                  <a:prstClr val="black">
                    <a:alpha val="40000"/>
                  </a:prstClr>
                </a:outerShdw>
                <a:softEdge rad="50800"/>
              </a:effectLst>
            </c:spPr>
            <c:extLst>
              <c:ext xmlns:c16="http://schemas.microsoft.com/office/drawing/2014/chart" uri="{C3380CC4-5D6E-409C-BE32-E72D297353CC}">
                <c16:uniqueId val="{00000007-42E7-4580-81AC-CA0C46E71E31}"/>
              </c:ext>
            </c:extLst>
          </c:dPt>
          <c:dPt>
            <c:idx val="4"/>
            <c:bubble3D val="0"/>
            <c:spPr>
              <a:solidFill>
                <a:schemeClr val="accent5"/>
              </a:solidFill>
              <a:ln>
                <a:noFill/>
              </a:ln>
              <a:effectLst>
                <a:outerShdw blurRad="63500" sx="102000" sy="102000" algn="ctr" rotWithShape="0">
                  <a:prstClr val="black">
                    <a:alpha val="40000"/>
                  </a:prstClr>
                </a:outerShdw>
                <a:softEdge rad="50800"/>
              </a:effectLst>
            </c:spPr>
            <c:extLst>
              <c:ext xmlns:c16="http://schemas.microsoft.com/office/drawing/2014/chart" uri="{C3380CC4-5D6E-409C-BE32-E72D297353CC}">
                <c16:uniqueId val="{00000009-42E7-4580-81AC-CA0C46E71E31}"/>
              </c:ext>
            </c:extLst>
          </c:dPt>
          <c:dPt>
            <c:idx val="5"/>
            <c:bubble3D val="0"/>
            <c:spPr>
              <a:solidFill>
                <a:schemeClr val="accent6"/>
              </a:solidFill>
              <a:ln>
                <a:noFill/>
              </a:ln>
              <a:effectLst>
                <a:outerShdw blurRad="63500" sx="102000" sy="102000" algn="ctr" rotWithShape="0">
                  <a:prstClr val="black">
                    <a:alpha val="40000"/>
                  </a:prstClr>
                </a:outerShdw>
                <a:softEdge rad="50800"/>
              </a:effectLst>
            </c:spPr>
            <c:extLst>
              <c:ext xmlns:c16="http://schemas.microsoft.com/office/drawing/2014/chart" uri="{C3380CC4-5D6E-409C-BE32-E72D297353CC}">
                <c16:uniqueId val="{0000000B-42E7-4580-81AC-CA0C46E71E31}"/>
              </c:ext>
            </c:extLst>
          </c:dPt>
          <c:dPt>
            <c:idx val="6"/>
            <c:bubble3D val="0"/>
            <c:spPr>
              <a:solidFill>
                <a:srgbClr val="92D050"/>
              </a:solidFill>
              <a:ln>
                <a:noFill/>
              </a:ln>
              <a:effectLst>
                <a:outerShdw blurRad="63500" sx="102000" sy="102000" algn="ctr" rotWithShape="0">
                  <a:prstClr val="black">
                    <a:alpha val="40000"/>
                  </a:prstClr>
                </a:outerShdw>
                <a:softEdge rad="50800"/>
              </a:effectLst>
            </c:spPr>
            <c:extLst>
              <c:ext xmlns:c16="http://schemas.microsoft.com/office/drawing/2014/chart" uri="{C3380CC4-5D6E-409C-BE32-E72D297353CC}">
                <c16:uniqueId val="{0000000D-42E7-4580-81AC-CA0C46E71E31}"/>
              </c:ext>
            </c:extLst>
          </c:dPt>
          <c:dLbls>
            <c:dLbl>
              <c:idx val="3"/>
              <c:layout>
                <c:manualLayout>
                  <c:x val="4.065040650406504E-2"/>
                  <c:y val="4.92004920049199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42E7-4580-81AC-CA0C46E71E31}"/>
                </c:ext>
              </c:extLst>
            </c:dLbl>
            <c:dLbl>
              <c:idx val="6"/>
              <c:layout>
                <c:manualLayout>
                  <c:x val="-0.16046213093709885"/>
                  <c:y val="-5.6374912507837612E-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42E7-4580-81AC-CA0C46E71E31}"/>
                </c:ext>
              </c:extLst>
            </c:dLbl>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s>
          <c:cat>
            <c:strRef>
              <c:extLst>
                <c:ext xmlns:c15="http://schemas.microsoft.com/office/drawing/2012/chart" uri="{02D57815-91ED-43cb-92C2-25804820EDAC}">
                  <c15:fullRef>
                    <c15:sqref>Graphs!$Y$3:$Y$10</c15:sqref>
                  </c15:fullRef>
                </c:ext>
              </c:extLst>
              <c:f>(Graphs!$Y$3:$Y$5,Graphs!$Y$7:$Y$9)</c:f>
              <c:strCache>
                <c:ptCount val="6"/>
                <c:pt idx="0">
                  <c:v>Paid This Month</c:v>
                </c:pt>
                <c:pt idx="1">
                  <c:v>Not Paying</c:v>
                </c:pt>
                <c:pt idx="2">
                  <c:v>Not Paid This Month</c:v>
                </c:pt>
                <c:pt idx="3">
                  <c:v>Dead</c:v>
                </c:pt>
                <c:pt idx="4">
                  <c:v>Break, To Resume</c:v>
                </c:pt>
                <c:pt idx="5">
                  <c:v>2.1.Dropped</c:v>
                </c:pt>
              </c:strCache>
            </c:strRef>
          </c:cat>
          <c:val>
            <c:numRef>
              <c:extLst>
                <c:ext xmlns:c15="http://schemas.microsoft.com/office/drawing/2012/chart" uri="{02D57815-91ED-43cb-92C2-25804820EDAC}">
                  <c15:fullRef>
                    <c15:sqref>Graphs!$Z$3:$Z$10</c15:sqref>
                  </c15:fullRef>
                </c:ext>
              </c:extLst>
              <c:f>(Graphs!$Z$3:$Z$5,Graphs!$Z$7:$Z$9)</c:f>
              <c:numCache>
                <c:formatCode>General</c:formatCode>
                <c:ptCount val="6"/>
                <c:pt idx="0">
                  <c:v>-5</c:v>
                </c:pt>
                <c:pt idx="1">
                  <c:v>1</c:v>
                </c:pt>
                <c:pt idx="2">
                  <c:v>29</c:v>
                </c:pt>
                <c:pt idx="3">
                  <c:v>16</c:v>
                </c:pt>
                <c:pt idx="4">
                  <c:v>6</c:v>
                </c:pt>
                <c:pt idx="5">
                  <c:v>22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42E7-4580-81AC-CA0C46E71E31}"/>
            </c:ext>
          </c:extLst>
        </c:ser>
        <c:dLbls>
          <c:dLblPos val="ctr"/>
          <c:showLegendKey val="0"/>
          <c:showVal val="0"/>
          <c:showCatName val="0"/>
          <c:showSerName val="0"/>
          <c:showPercent val="1"/>
          <c:showBubbleSize val="0"/>
          <c:showLeaderLines val="1"/>
        </c:dLbls>
        <c:gapWidth val="150"/>
        <c:splitType val="pos"/>
        <c:splitPos val="3"/>
        <c:secondPieSize val="75"/>
        <c:serLines>
          <c:spPr>
            <a:ln w="9525">
              <a:solidFill>
                <a:schemeClr val="dk1">
                  <a:lumMod val="50000"/>
                  <a:lumOff val="50000"/>
                </a:schemeClr>
              </a:solidFill>
              <a:round/>
              <a:headEnd type="none" w="med" len="med"/>
              <a:tailEnd type="triangle" w="med" len="me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sunburst" uniqueId="{61AC815A-BE13-4852-9040-A5469A8B30B7}">
          <cx:spPr>
            <a:effectLst>
              <a:softEdge rad="38100"/>
            </a:effectLst>
          </cx:spPr>
          <cx:dataPt idx="1">
            <cx:spPr>
              <a:solidFill>
                <a:srgbClr val="92D050"/>
              </a:solidFill>
            </cx:spPr>
          </cx:dataPt>
          <cx:dataPt idx="3">
            <cx:spPr>
              <a:solidFill>
                <a:srgbClr val="FFC000"/>
              </a:solidFill>
            </cx:spPr>
          </cx:dataPt>
          <cx:dataPt idx="4">
            <cx:spPr>
              <a:solidFill>
                <a:srgbClr val="00B0F0"/>
              </a:solidFill>
            </cx:spPr>
          </cx:dataPt>
          <cx:dataPt idx="5">
            <cx:spPr>
              <a:solidFill>
                <a:srgbClr val="FF6600"/>
              </a:solidFill>
            </cx:spPr>
          </cx:dataPt>
          <cx:dataPt idx="6">
            <cx:spPr>
              <a:solidFill>
                <a:srgbClr val="FFFF00"/>
              </a:solidFill>
            </cx:spPr>
          </cx:dataPt>
          <cx:dataPt idx="8">
            <cx:spPr>
              <a:solidFill>
                <a:srgbClr val="FF0000"/>
              </a:solidFill>
            </cx:spPr>
          </cx:dataPt>
          <cx:dataLabels>
            <cx:visibility seriesName="0" categoryName="1" value="1"/>
            <cx:separator>
</cx:separator>
          </cx:dataLabels>
          <cx:dataId val="0"/>
        </cx:series>
      </cx:plotAreaRegion>
    </cx:plotArea>
  </cx:chart>
  <cx:spPr>
    <a:effectLst>
      <a:outerShdw blurRad="63500" sx="102000" sy="102000" algn="ctr"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xdr:rowOff>
    </xdr:from>
    <xdr:to>
      <xdr:col>9</xdr:col>
      <xdr:colOff>152399</xdr:colOff>
      <xdr:row>0</xdr:row>
      <xdr:rowOff>384320</xdr:rowOff>
    </xdr:to>
    <xdr:grpSp>
      <xdr:nvGrpSpPr>
        <xdr:cNvPr id="22" name="Group 21">
          <a:extLst>
            <a:ext uri="{FF2B5EF4-FFF2-40B4-BE49-F238E27FC236}">
              <a16:creationId xmlns:a16="http://schemas.microsoft.com/office/drawing/2014/main" id="{C3052E77-3747-AF6F-923C-8EFB2FDF9425}"/>
            </a:ext>
          </a:extLst>
        </xdr:cNvPr>
        <xdr:cNvGrpSpPr/>
      </xdr:nvGrpSpPr>
      <xdr:grpSpPr>
        <a:xfrm>
          <a:off x="0" y="4"/>
          <a:ext cx="9664699" cy="384316"/>
          <a:chOff x="0" y="4"/>
          <a:chExt cx="5850834" cy="384316"/>
        </a:xfrm>
      </xdr:grpSpPr>
      <xdr:sp macro="" textlink="$A$1">
        <xdr:nvSpPr>
          <xdr:cNvPr id="2" name="Rectangle: Rounded Corners 1">
            <a:extLst>
              <a:ext uri="{FF2B5EF4-FFF2-40B4-BE49-F238E27FC236}">
                <a16:creationId xmlns:a16="http://schemas.microsoft.com/office/drawing/2014/main" id="{F791C6F6-68F6-FC3A-D84C-0FCDC1B0ECF0}"/>
              </a:ext>
            </a:extLst>
          </xdr:cNvPr>
          <xdr:cNvSpPr/>
        </xdr:nvSpPr>
        <xdr:spPr>
          <a:xfrm>
            <a:off x="19878" y="33134"/>
            <a:ext cx="649357" cy="318052"/>
          </a:xfrm>
          <a:prstGeom prst="roundRect">
            <a:avLst/>
          </a:prstGeom>
          <a:solidFill>
            <a:schemeClr val="accent5">
              <a:lumMod val="60000"/>
              <a:lumOff val="4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r"/>
            <a:fld id="{C1455AAF-8C91-494E-8346-84DAB467D94F}" type="TxLink">
              <a:rPr lang="en-US" sz="1800" b="0" i="0" u="none" strike="noStrike" kern="1200">
                <a:solidFill>
                  <a:srgbClr val="FFFFFF"/>
                </a:solidFill>
                <a:latin typeface="Calibri"/>
                <a:ea typeface="Calibri"/>
                <a:cs typeface="Calibri"/>
              </a:rPr>
              <a:pPr algn="r"/>
              <a:t>60</a:t>
            </a:fld>
            <a:endParaRPr lang="en-IN" sz="1000" kern="1200"/>
          </a:p>
        </xdr:txBody>
      </xdr:sp>
      <xdr:sp macro="" textlink="">
        <xdr:nvSpPr>
          <xdr:cNvPr id="3" name="TextBox 2">
            <a:extLst>
              <a:ext uri="{FF2B5EF4-FFF2-40B4-BE49-F238E27FC236}">
                <a16:creationId xmlns:a16="http://schemas.microsoft.com/office/drawing/2014/main" id="{5C23C20B-A546-553F-5238-AAE0520D0DF4}"/>
              </a:ext>
            </a:extLst>
          </xdr:cNvPr>
          <xdr:cNvSpPr txBox="1"/>
        </xdr:nvSpPr>
        <xdr:spPr>
          <a:xfrm>
            <a:off x="0" y="6"/>
            <a:ext cx="443948" cy="17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kern="1200"/>
              <a:t>Total</a:t>
            </a:r>
          </a:p>
        </xdr:txBody>
      </xdr:sp>
      <xdr:sp macro="" textlink="$I$1">
        <xdr:nvSpPr>
          <xdr:cNvPr id="4" name="Rectangle: Rounded Corners 3">
            <a:extLst>
              <a:ext uri="{FF2B5EF4-FFF2-40B4-BE49-F238E27FC236}">
                <a16:creationId xmlns:a16="http://schemas.microsoft.com/office/drawing/2014/main" id="{A0971665-866B-46F3-B6A6-837A9BF7F54D}"/>
              </a:ext>
            </a:extLst>
          </xdr:cNvPr>
          <xdr:cNvSpPr/>
        </xdr:nvSpPr>
        <xdr:spPr>
          <a:xfrm>
            <a:off x="5022568" y="39760"/>
            <a:ext cx="669241" cy="318052"/>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r"/>
            <a:fld id="{7A46E2E8-19E2-4E96-85B1-28E8A2D5DE74}" type="TxLink">
              <a:rPr lang="en-US" sz="1800" b="0" i="0" u="none" strike="noStrike" kern="1200">
                <a:solidFill>
                  <a:srgbClr val="FFFFFF"/>
                </a:solidFill>
                <a:latin typeface="Calibri"/>
                <a:ea typeface="Calibri"/>
                <a:cs typeface="Calibri"/>
              </a:rPr>
              <a:pPr algn="r"/>
              <a:t>29</a:t>
            </a:fld>
            <a:endParaRPr lang="en-IN" sz="1000" kern="1200"/>
          </a:p>
        </xdr:txBody>
      </xdr:sp>
      <xdr:sp macro="" textlink="">
        <xdr:nvSpPr>
          <xdr:cNvPr id="5" name="TextBox 4">
            <a:extLst>
              <a:ext uri="{FF2B5EF4-FFF2-40B4-BE49-F238E27FC236}">
                <a16:creationId xmlns:a16="http://schemas.microsoft.com/office/drawing/2014/main" id="{3D4BD904-18E6-45D6-9AFC-67229DC5118D}"/>
              </a:ext>
            </a:extLst>
          </xdr:cNvPr>
          <xdr:cNvSpPr txBox="1"/>
        </xdr:nvSpPr>
        <xdr:spPr>
          <a:xfrm>
            <a:off x="4976184" y="4"/>
            <a:ext cx="8746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b="1" u="sng" kern="1200"/>
              <a:t>Live &amp; Pay </a:t>
            </a:r>
          </a:p>
        </xdr:txBody>
      </xdr:sp>
      <xdr:sp macro="" textlink="$B$1">
        <xdr:nvSpPr>
          <xdr:cNvPr id="6" name="Rectangle: Rounded Corners 5">
            <a:extLst>
              <a:ext uri="{FF2B5EF4-FFF2-40B4-BE49-F238E27FC236}">
                <a16:creationId xmlns:a16="http://schemas.microsoft.com/office/drawing/2014/main" id="{957ABC29-7CF0-45CF-9527-5F6B6A3A15A7}"/>
              </a:ext>
            </a:extLst>
          </xdr:cNvPr>
          <xdr:cNvSpPr/>
        </xdr:nvSpPr>
        <xdr:spPr>
          <a:xfrm>
            <a:off x="708991" y="33134"/>
            <a:ext cx="649357" cy="318052"/>
          </a:xfrm>
          <a:prstGeom prst="roundRect">
            <a:avLst/>
          </a:prstGeom>
          <a:solidFill>
            <a:schemeClr val="accent2"/>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r"/>
            <a:fld id="{2C71610D-C6D8-4319-A222-C044F51A4BF7}" type="TxLink">
              <a:rPr lang="en-US" sz="1800" b="0" i="0" u="none" strike="noStrike" kern="1200">
                <a:solidFill>
                  <a:srgbClr val="FFFFFF"/>
                </a:solidFill>
                <a:latin typeface="Calibri"/>
                <a:ea typeface="Calibri"/>
                <a:cs typeface="Calibri"/>
              </a:rPr>
              <a:pPr algn="r"/>
              <a:t>22</a:t>
            </a:fld>
            <a:endParaRPr lang="en-IN" sz="800" kern="1200"/>
          </a:p>
        </xdr:txBody>
      </xdr:sp>
      <xdr:sp macro="" textlink="">
        <xdr:nvSpPr>
          <xdr:cNvPr id="7" name="TextBox 6">
            <a:extLst>
              <a:ext uri="{FF2B5EF4-FFF2-40B4-BE49-F238E27FC236}">
                <a16:creationId xmlns:a16="http://schemas.microsoft.com/office/drawing/2014/main" id="{A3B64808-F253-42E5-BA26-810B36CD3F34}"/>
              </a:ext>
            </a:extLst>
          </xdr:cNvPr>
          <xdr:cNvSpPr txBox="1"/>
        </xdr:nvSpPr>
        <xdr:spPr>
          <a:xfrm>
            <a:off x="689113" y="6"/>
            <a:ext cx="642730" cy="185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kern="1200"/>
              <a:t>Dropped</a:t>
            </a:r>
          </a:p>
        </xdr:txBody>
      </xdr:sp>
      <xdr:sp macro="" textlink="$C$1">
        <xdr:nvSpPr>
          <xdr:cNvPr id="10" name="Rectangle: Rounded Corners 9">
            <a:extLst>
              <a:ext uri="{FF2B5EF4-FFF2-40B4-BE49-F238E27FC236}">
                <a16:creationId xmlns:a16="http://schemas.microsoft.com/office/drawing/2014/main" id="{6D129AF3-3AAE-4119-B83A-79B4570F81D8}"/>
              </a:ext>
            </a:extLst>
          </xdr:cNvPr>
          <xdr:cNvSpPr/>
        </xdr:nvSpPr>
        <xdr:spPr>
          <a:xfrm>
            <a:off x="1417984" y="39762"/>
            <a:ext cx="649357" cy="318052"/>
          </a:xfrm>
          <a:prstGeom prst="roundRect">
            <a:avLst/>
          </a:prstGeom>
          <a:solidFill>
            <a:schemeClr val="accent6">
              <a:lumMod val="60000"/>
              <a:lumOff val="4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r"/>
            <a:fld id="{FAFD7544-E147-4FED-8E29-B817A650482F}" type="TxLink">
              <a:rPr lang="en-US" sz="2000" b="0" i="0" u="none" strike="noStrike" kern="1200">
                <a:solidFill>
                  <a:srgbClr val="FFFFFF"/>
                </a:solidFill>
                <a:latin typeface="Calibri"/>
                <a:ea typeface="Calibri"/>
                <a:cs typeface="Calibri"/>
              </a:rPr>
              <a:pPr algn="r"/>
              <a:t>6</a:t>
            </a:fld>
            <a:endParaRPr lang="en-IN" sz="900" kern="1200"/>
          </a:p>
        </xdr:txBody>
      </xdr:sp>
      <xdr:sp macro="" textlink="">
        <xdr:nvSpPr>
          <xdr:cNvPr id="11" name="TextBox 10">
            <a:extLst>
              <a:ext uri="{FF2B5EF4-FFF2-40B4-BE49-F238E27FC236}">
                <a16:creationId xmlns:a16="http://schemas.microsoft.com/office/drawing/2014/main" id="{8E8D810E-B5A3-467E-A949-3098D8D297FD}"/>
              </a:ext>
            </a:extLst>
          </xdr:cNvPr>
          <xdr:cNvSpPr txBox="1"/>
        </xdr:nvSpPr>
        <xdr:spPr>
          <a:xfrm>
            <a:off x="1398106" y="6634"/>
            <a:ext cx="642730" cy="185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b="1" u="sng" kern="1200"/>
              <a:t>Still Hope</a:t>
            </a:r>
          </a:p>
        </xdr:txBody>
      </xdr:sp>
      <xdr:sp macro="" textlink="$E$1">
        <xdr:nvSpPr>
          <xdr:cNvPr id="12" name="Rectangle: Rounded Corners 11">
            <a:extLst>
              <a:ext uri="{FF2B5EF4-FFF2-40B4-BE49-F238E27FC236}">
                <a16:creationId xmlns:a16="http://schemas.microsoft.com/office/drawing/2014/main" id="{90155F51-8AD7-4BE5-99AA-0280EE53CFE2}"/>
              </a:ext>
            </a:extLst>
          </xdr:cNvPr>
          <xdr:cNvSpPr/>
        </xdr:nvSpPr>
        <xdr:spPr>
          <a:xfrm>
            <a:off x="2120346" y="46390"/>
            <a:ext cx="649357" cy="318052"/>
          </a:xfrm>
          <a:prstGeom prst="roundRect">
            <a:avLst/>
          </a:prstGeom>
          <a:solidFill>
            <a:srgbClr val="FF0000"/>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r"/>
            <a:fld id="{8700EA39-6ACD-414B-A290-9BFA710C7DB6}" type="TxLink">
              <a:rPr lang="en-US" sz="1800" b="0" i="0" u="none" strike="noStrike" kern="1200">
                <a:solidFill>
                  <a:srgbClr val="FFFFFF"/>
                </a:solidFill>
                <a:latin typeface="Calibri"/>
                <a:ea typeface="Calibri"/>
                <a:cs typeface="Calibri"/>
              </a:rPr>
              <a:pPr algn="r"/>
              <a:t>16</a:t>
            </a:fld>
            <a:endParaRPr lang="en-IN" sz="1200" kern="1200"/>
          </a:p>
        </xdr:txBody>
      </xdr:sp>
      <xdr:sp macro="" textlink="">
        <xdr:nvSpPr>
          <xdr:cNvPr id="13" name="TextBox 12">
            <a:extLst>
              <a:ext uri="{FF2B5EF4-FFF2-40B4-BE49-F238E27FC236}">
                <a16:creationId xmlns:a16="http://schemas.microsoft.com/office/drawing/2014/main" id="{A1661987-7763-4279-AEBC-525BE027757A}"/>
              </a:ext>
            </a:extLst>
          </xdr:cNvPr>
          <xdr:cNvSpPr txBox="1"/>
        </xdr:nvSpPr>
        <xdr:spPr>
          <a:xfrm>
            <a:off x="2100468" y="13262"/>
            <a:ext cx="642730" cy="185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b="1" kern="1200"/>
              <a:t>No Hope</a:t>
            </a:r>
          </a:p>
        </xdr:txBody>
      </xdr:sp>
      <xdr:sp macro="" textlink="$H$1">
        <xdr:nvSpPr>
          <xdr:cNvPr id="14" name="Rectangle: Rounded Corners 13">
            <a:extLst>
              <a:ext uri="{FF2B5EF4-FFF2-40B4-BE49-F238E27FC236}">
                <a16:creationId xmlns:a16="http://schemas.microsoft.com/office/drawing/2014/main" id="{1D3A5CB4-DBEC-42CB-AE76-AFE148B77220}"/>
              </a:ext>
            </a:extLst>
          </xdr:cNvPr>
          <xdr:cNvSpPr/>
        </xdr:nvSpPr>
        <xdr:spPr>
          <a:xfrm>
            <a:off x="2816080" y="53018"/>
            <a:ext cx="649357" cy="318052"/>
          </a:xfrm>
          <a:prstGeom prst="roundRect">
            <a:avLst/>
          </a:prstGeom>
          <a:solidFill>
            <a:srgbClr val="FF0000"/>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r"/>
            <a:fld id="{804CA87B-14EE-47AF-8FF5-4D5389AA4D68}" type="TxLink">
              <a:rPr lang="en-US" sz="1800" b="0" i="0" u="none" strike="noStrike" kern="1200">
                <a:solidFill>
                  <a:srgbClr val="FFFFFF"/>
                </a:solidFill>
                <a:latin typeface="Calibri"/>
                <a:ea typeface="Calibri"/>
                <a:cs typeface="Calibri"/>
              </a:rPr>
              <a:pPr algn="r"/>
              <a:t>1</a:t>
            </a:fld>
            <a:endParaRPr lang="en-IN" sz="800" kern="1200"/>
          </a:p>
        </xdr:txBody>
      </xdr:sp>
      <xdr:sp macro="" textlink="">
        <xdr:nvSpPr>
          <xdr:cNvPr id="15" name="TextBox 14">
            <a:extLst>
              <a:ext uri="{FF2B5EF4-FFF2-40B4-BE49-F238E27FC236}">
                <a16:creationId xmlns:a16="http://schemas.microsoft.com/office/drawing/2014/main" id="{792C0D06-4E6D-48DB-A8A2-B8FDB03881AC}"/>
              </a:ext>
            </a:extLst>
          </xdr:cNvPr>
          <xdr:cNvSpPr txBox="1"/>
        </xdr:nvSpPr>
        <xdr:spPr>
          <a:xfrm>
            <a:off x="2796202" y="19890"/>
            <a:ext cx="722250" cy="172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b="1" u="sng" kern="1200"/>
              <a:t>LiveNo</a:t>
            </a:r>
            <a:r>
              <a:rPr lang="en-IN" sz="900" b="1" u="sng" kern="1200" baseline="0"/>
              <a:t>Pay</a:t>
            </a:r>
            <a:endParaRPr lang="en-IN" sz="900" b="1" u="sng" kern="1200"/>
          </a:p>
        </xdr:txBody>
      </xdr:sp>
      <xdr:sp macro="" textlink="$J$1">
        <xdr:nvSpPr>
          <xdr:cNvPr id="18" name="Rectangle: Rounded Corners 17">
            <a:extLst>
              <a:ext uri="{FF2B5EF4-FFF2-40B4-BE49-F238E27FC236}">
                <a16:creationId xmlns:a16="http://schemas.microsoft.com/office/drawing/2014/main" id="{A1730492-93C9-416F-A69C-CDC0FBAB5BAC}"/>
              </a:ext>
            </a:extLst>
          </xdr:cNvPr>
          <xdr:cNvSpPr/>
        </xdr:nvSpPr>
        <xdr:spPr>
          <a:xfrm>
            <a:off x="3518434" y="46392"/>
            <a:ext cx="649357" cy="318052"/>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r"/>
            <a:fld id="{0E77F2D5-9C48-4C31-8B18-70B1C7BECEC4}" type="TxLink">
              <a:rPr lang="en-US" sz="1800" b="0" i="0" u="none" strike="noStrike" kern="1200">
                <a:solidFill>
                  <a:schemeClr val="bg1"/>
                </a:solidFill>
                <a:latin typeface="Calibri"/>
                <a:ea typeface="Calibri"/>
                <a:cs typeface="Calibri"/>
              </a:rPr>
              <a:pPr algn="r"/>
              <a:t>5</a:t>
            </a:fld>
            <a:endParaRPr lang="en-IN" sz="1400" kern="1200">
              <a:solidFill>
                <a:schemeClr val="bg1"/>
              </a:solidFill>
            </a:endParaRPr>
          </a:p>
        </xdr:txBody>
      </xdr:sp>
      <xdr:sp macro="" textlink="">
        <xdr:nvSpPr>
          <xdr:cNvPr id="19" name="TextBox 18">
            <a:extLst>
              <a:ext uri="{FF2B5EF4-FFF2-40B4-BE49-F238E27FC236}">
                <a16:creationId xmlns:a16="http://schemas.microsoft.com/office/drawing/2014/main" id="{9F4D684E-1991-4FDB-BB63-9B316E753553}"/>
              </a:ext>
            </a:extLst>
          </xdr:cNvPr>
          <xdr:cNvSpPr txBox="1"/>
        </xdr:nvSpPr>
        <xdr:spPr>
          <a:xfrm>
            <a:off x="3498556" y="13264"/>
            <a:ext cx="642730" cy="185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b="1" u="sng" kern="1200"/>
              <a:t>New</a:t>
            </a:r>
          </a:p>
        </xdr:txBody>
      </xdr:sp>
      <xdr:sp macro="" textlink="$K$1">
        <xdr:nvSpPr>
          <xdr:cNvPr id="20" name="Rectangle: Rounded Corners 19">
            <a:extLst>
              <a:ext uri="{FF2B5EF4-FFF2-40B4-BE49-F238E27FC236}">
                <a16:creationId xmlns:a16="http://schemas.microsoft.com/office/drawing/2014/main" id="{ECED981E-DB08-4269-9B62-1192305B457C}"/>
              </a:ext>
            </a:extLst>
          </xdr:cNvPr>
          <xdr:cNvSpPr/>
        </xdr:nvSpPr>
        <xdr:spPr>
          <a:xfrm>
            <a:off x="4200914" y="46394"/>
            <a:ext cx="649357" cy="318052"/>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r"/>
            <a:fld id="{287C4695-88A6-4635-AE90-8E01B780D0F0}" type="TxLink">
              <a:rPr lang="en-US" sz="1800" b="1" i="0" u="none" strike="noStrike" kern="1200">
                <a:solidFill>
                  <a:srgbClr val="FFFFFF"/>
                </a:solidFill>
                <a:latin typeface="Calibri"/>
                <a:ea typeface="Calibri"/>
                <a:cs typeface="Calibri"/>
              </a:rPr>
              <a:pPr algn="r"/>
              <a:t>-5</a:t>
            </a:fld>
            <a:endParaRPr lang="en-IN" sz="1400" kern="1200"/>
          </a:p>
        </xdr:txBody>
      </xdr:sp>
      <xdr:sp macro="" textlink="">
        <xdr:nvSpPr>
          <xdr:cNvPr id="21" name="TextBox 20">
            <a:extLst>
              <a:ext uri="{FF2B5EF4-FFF2-40B4-BE49-F238E27FC236}">
                <a16:creationId xmlns:a16="http://schemas.microsoft.com/office/drawing/2014/main" id="{DA144C34-C934-4F6B-B1DD-8F490DF73602}"/>
              </a:ext>
            </a:extLst>
          </xdr:cNvPr>
          <xdr:cNvSpPr txBox="1"/>
        </xdr:nvSpPr>
        <xdr:spPr>
          <a:xfrm>
            <a:off x="4139666" y="6639"/>
            <a:ext cx="788530" cy="3776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b="1" kern="1200">
                <a:solidFill>
                  <a:schemeClr val="accent6">
                    <a:lumMod val="75000"/>
                  </a:schemeClr>
                </a:solidFill>
              </a:rPr>
              <a:t>This Month Paid</a:t>
            </a:r>
          </a:p>
        </xdr:txBody>
      </xdr:sp>
    </xdr:grpSp>
    <xdr:clientData/>
  </xdr:twoCellAnchor>
  <xdr:twoCellAnchor>
    <xdr:from>
      <xdr:col>9</xdr:col>
      <xdr:colOff>68580</xdr:colOff>
      <xdr:row>0</xdr:row>
      <xdr:rowOff>38100</xdr:rowOff>
    </xdr:from>
    <xdr:to>
      <xdr:col>10</xdr:col>
      <xdr:colOff>556010</xdr:colOff>
      <xdr:row>0</xdr:row>
      <xdr:rowOff>356152</xdr:rowOff>
    </xdr:to>
    <xdr:sp macro="" textlink="'Alert List'!G1">
      <xdr:nvSpPr>
        <xdr:cNvPr id="8" name="Rectangle: Rounded Corners 7">
          <a:extLst>
            <a:ext uri="{FF2B5EF4-FFF2-40B4-BE49-F238E27FC236}">
              <a16:creationId xmlns:a16="http://schemas.microsoft.com/office/drawing/2014/main" id="{47DED517-4D31-4A55-AA35-A69D2E8848E9}"/>
            </a:ext>
          </a:extLst>
        </xdr:cNvPr>
        <xdr:cNvSpPr/>
      </xdr:nvSpPr>
      <xdr:spPr>
        <a:xfrm>
          <a:off x="8633460" y="38100"/>
          <a:ext cx="967490" cy="318052"/>
        </a:xfrm>
        <a:prstGeom prst="roundRect">
          <a:avLst/>
        </a:prstGeom>
        <a:solidFill>
          <a:srgbClr val="FE8F8C"/>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r"/>
          <a:fld id="{77FD0896-8617-4D30-BF51-AFEA2377854A}" type="TxLink">
            <a:rPr lang="en-US" sz="2000" b="0" i="0" u="none" strike="noStrike" kern="1200">
              <a:solidFill>
                <a:schemeClr val="bg1"/>
              </a:solidFill>
              <a:latin typeface="Calibri"/>
              <a:ea typeface="Calibri"/>
              <a:cs typeface="Calibri"/>
            </a:rPr>
            <a:pPr algn="r"/>
            <a:t>2</a:t>
          </a:fld>
          <a:endParaRPr lang="en-IN" sz="1100" kern="1200">
            <a:solidFill>
              <a:schemeClr val="bg1"/>
            </a:solidFill>
          </a:endParaRPr>
        </a:p>
      </xdr:txBody>
    </xdr:sp>
    <xdr:clientData/>
  </xdr:twoCellAnchor>
  <xdr:oneCellAnchor>
    <xdr:from>
      <xdr:col>9</xdr:col>
      <xdr:colOff>38100</xdr:colOff>
      <xdr:row>0</xdr:row>
      <xdr:rowOff>0</xdr:rowOff>
    </xdr:from>
    <xdr:ext cx="725455" cy="264560"/>
    <xdr:sp macro="" textlink="">
      <xdr:nvSpPr>
        <xdr:cNvPr id="9" name="TextBox 8">
          <a:extLst>
            <a:ext uri="{FF2B5EF4-FFF2-40B4-BE49-F238E27FC236}">
              <a16:creationId xmlns:a16="http://schemas.microsoft.com/office/drawing/2014/main" id="{3E2B6B86-E6EE-B780-D91F-95B07F075743}"/>
            </a:ext>
          </a:extLst>
        </xdr:cNvPr>
        <xdr:cNvSpPr txBox="1"/>
      </xdr:nvSpPr>
      <xdr:spPr>
        <a:xfrm>
          <a:off x="8602980" y="0"/>
          <a:ext cx="7254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kern="1200"/>
            <a:t>Alert Risk</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8</xdr:col>
      <xdr:colOff>487680</xdr:colOff>
      <xdr:row>3</xdr:row>
      <xdr:rowOff>0</xdr:rowOff>
    </xdr:from>
    <xdr:to>
      <xdr:col>11</xdr:col>
      <xdr:colOff>487680</xdr:colOff>
      <xdr:row>16</xdr:row>
      <xdr:rowOff>89535</xdr:rowOff>
    </xdr:to>
    <mc:AlternateContent xmlns:mc="http://schemas.openxmlformats.org/markup-compatibility/2006" xmlns:a14="http://schemas.microsoft.com/office/drawing/2010/main">
      <mc:Choice Requires="a14">
        <xdr:graphicFrame macro="">
          <xdr:nvGraphicFramePr>
            <xdr:cNvPr id="2" name="Should I Call?">
              <a:extLst>
                <a:ext uri="{FF2B5EF4-FFF2-40B4-BE49-F238E27FC236}">
                  <a16:creationId xmlns:a16="http://schemas.microsoft.com/office/drawing/2014/main" id="{1896511F-8FE5-9B52-A540-AE4F7D1F6138}"/>
                </a:ext>
              </a:extLst>
            </xdr:cNvPr>
            <xdr:cNvGraphicFramePr/>
          </xdr:nvGraphicFramePr>
          <xdr:xfrm>
            <a:off x="0" y="0"/>
            <a:ext cx="0" cy="0"/>
          </xdr:xfrm>
          <a:graphic>
            <a:graphicData uri="http://schemas.microsoft.com/office/drawing/2010/slicer">
              <sle:slicer xmlns:sle="http://schemas.microsoft.com/office/drawing/2010/slicer" name="Should I Call?"/>
            </a:graphicData>
          </a:graphic>
        </xdr:graphicFrame>
      </mc:Choice>
      <mc:Fallback xmlns="">
        <xdr:sp macro="" textlink="">
          <xdr:nvSpPr>
            <xdr:cNvPr id="0" name=""/>
            <xdr:cNvSpPr>
              <a:spLocks noTextEdit="1"/>
            </xdr:cNvSpPr>
          </xdr:nvSpPr>
          <xdr:spPr>
            <a:xfrm>
              <a:off x="6995160" y="548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152400</xdr:rowOff>
    </xdr:from>
    <xdr:to>
      <xdr:col>9</xdr:col>
      <xdr:colOff>449580</xdr:colOff>
      <xdr:row>24</xdr:row>
      <xdr:rowOff>76200</xdr:rowOff>
    </xdr:to>
    <xdr:graphicFrame macro="">
      <xdr:nvGraphicFramePr>
        <xdr:cNvPr id="2" name="Chart 1">
          <a:extLst>
            <a:ext uri="{FF2B5EF4-FFF2-40B4-BE49-F238E27FC236}">
              <a16:creationId xmlns:a16="http://schemas.microsoft.com/office/drawing/2014/main" id="{0F85476D-C280-4819-B2CB-DE9524A8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365760</xdr:colOff>
      <xdr:row>0</xdr:row>
      <xdr:rowOff>0</xdr:rowOff>
    </xdr:from>
    <xdr:to>
      <xdr:col>20</xdr:col>
      <xdr:colOff>129540</xdr:colOff>
      <xdr:row>27</xdr:row>
      <xdr:rowOff>30480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F30E54B-2BC1-4E14-B39A-72127CE7FA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096760" y="0"/>
              <a:ext cx="6494780" cy="517398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jit Chowdhury" refreshedDate="45877.725727893521" createdVersion="8" refreshedVersion="8" minRefreshableVersion="3" recordCount="60" xr:uid="{574786C5-9E32-4857-BB87-FD3CA44EF5E8}">
  <cacheSource type="worksheet">
    <worksheetSource ref="A2:J75" sheet="08Aug2025"/>
  </cacheSource>
  <cacheFields count="7">
    <cacheField name="Name" numFmtId="0">
      <sharedItems count="60">
        <s v="Soumya Verma (Amit)"/>
        <s v="Ravinder Rawal"/>
        <s v="Devesh Chauhan"/>
        <s v="Bikash Shaw"/>
        <s v="Sonam Anand"/>
        <s v="Omkar Vaidya"/>
        <s v="Sakshi Pandey"/>
        <s v="Ritesh Kumar"/>
        <s v="Monty Singh"/>
        <s v="Utkarsh Shah"/>
        <s v="Siddhesh"/>
        <s v="Amrendra Singh"/>
        <s v="Rajesh Jaiswal"/>
        <s v="Ishan Kotian"/>
        <s v="Shrishti Singh"/>
        <s v="Akshay Shah"/>
        <s v="Balgovind Pal"/>
        <s v="Avanish Pathak"/>
        <s v="Mahesh Sawant"/>
        <s v="Uttam Yamgar"/>
        <s v="Abhay Sail"/>
        <s v="Amrut Chavan"/>
        <s v="Sayali Gaikwad"/>
        <s v="Swapnil G"/>
        <s v="Sourangshu M"/>
        <s v="Shailendra K"/>
        <s v="Harish S"/>
        <s v="Kunal M"/>
        <s v="Sagar G"/>
        <s v="Chris F"/>
        <s v="Mayank Pant"/>
        <s v="Subhrangshu N"/>
        <s v="Amit V"/>
        <s v="Milton"/>
        <s v="Nishant K"/>
        <s v="Sagar (Hemant Sharma)"/>
        <s v="Hemant Sharma"/>
        <s v="Ankita Rahate"/>
        <s v="Subrata D"/>
        <s v="Sachin K"/>
        <s v="Vaishali K"/>
        <s v="Shreya S"/>
        <s v="Sourav C"/>
        <s v="Sanjoy M"/>
        <s v="Sachin J"/>
        <s v="Narinder Singh Sachdev"/>
        <s v="Anand K"/>
        <s v="Prashita T"/>
        <s v="Rajesh Pal"/>
        <s v="Samuel Brainerd"/>
        <s v="Ajinkyasing Paradeshi"/>
        <s v="Rajesh Gangan"/>
        <s v="Ajay Sharma"/>
        <s v="Jitendra M"/>
        <s v="Rohit S"/>
        <s v="Santosh F"/>
        <s v="Subir Choudhury"/>
        <s v="Rinkesh"/>
        <s v="Suvajit R"/>
        <s v="Rohan K"/>
      </sharedItems>
    </cacheField>
    <cacheField name="Should I Call?" numFmtId="0">
      <sharedItems count="3">
        <s v="Yes"/>
        <s v="No"/>
        <s v=" -"/>
      </sharedItems>
    </cacheField>
    <cacheField name="Potential Batch" numFmtId="0">
      <sharedItems containsBlank="1" count="8">
        <s v="Basic Excel, PPT"/>
        <s v="Excel"/>
        <m/>
        <s v="Vive coding"/>
        <s v="Power BI"/>
        <s v="Agentic"/>
        <s v=" -"/>
        <s v="L&amp;D - Chola"/>
      </sharedItems>
    </cacheField>
    <cacheField name="Website feedback" numFmtId="0">
      <sharedItems containsNonDate="0" containsString="0" containsBlank="1"/>
    </cacheField>
    <cacheField name="LinkedIn Recommendations" numFmtId="0">
      <sharedItems containsNonDate="0" containsString="0" containsBlank="1"/>
    </cacheField>
    <cacheField name="Class start?" numFmtId="0">
      <sharedItems containsNonDate="0" containsString="0" containsBlank="1"/>
    </cacheField>
    <cacheField name="Refer?" numFmtId="0">
      <sharedItems containsNonDate="0" containsString="0" containsBlank="1"/>
    </cacheField>
  </cacheFields>
  <extLst>
    <ext xmlns:x14="http://schemas.microsoft.com/office/spreadsheetml/2009/9/main" uri="{725AE2AE-9491-48be-B2B4-4EB974FC3084}">
      <x14:pivotCacheDefinition pivotCacheId="480008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m/>
    <m/>
    <m/>
    <m/>
  </r>
  <r>
    <x v="1"/>
    <x v="0"/>
    <x v="1"/>
    <m/>
    <m/>
    <m/>
    <m/>
  </r>
  <r>
    <x v="2"/>
    <x v="1"/>
    <x v="2"/>
    <m/>
    <m/>
    <m/>
    <m/>
  </r>
  <r>
    <x v="3"/>
    <x v="0"/>
    <x v="3"/>
    <m/>
    <m/>
    <m/>
    <m/>
  </r>
  <r>
    <x v="4"/>
    <x v="0"/>
    <x v="3"/>
    <m/>
    <m/>
    <m/>
    <m/>
  </r>
  <r>
    <x v="5"/>
    <x v="0"/>
    <x v="4"/>
    <m/>
    <m/>
    <m/>
    <m/>
  </r>
  <r>
    <x v="6"/>
    <x v="0"/>
    <x v="5"/>
    <m/>
    <m/>
    <m/>
    <m/>
  </r>
  <r>
    <x v="7"/>
    <x v="0"/>
    <x v="3"/>
    <m/>
    <m/>
    <m/>
    <m/>
  </r>
  <r>
    <x v="8"/>
    <x v="0"/>
    <x v="4"/>
    <m/>
    <m/>
    <m/>
    <m/>
  </r>
  <r>
    <x v="9"/>
    <x v="0"/>
    <x v="3"/>
    <m/>
    <m/>
    <m/>
    <m/>
  </r>
  <r>
    <x v="10"/>
    <x v="0"/>
    <x v="3"/>
    <m/>
    <m/>
    <m/>
    <m/>
  </r>
  <r>
    <x v="11"/>
    <x v="1"/>
    <x v="2"/>
    <m/>
    <m/>
    <m/>
    <m/>
  </r>
  <r>
    <x v="12"/>
    <x v="0"/>
    <x v="3"/>
    <m/>
    <m/>
    <m/>
    <m/>
  </r>
  <r>
    <x v="13"/>
    <x v="0"/>
    <x v="3"/>
    <m/>
    <m/>
    <m/>
    <m/>
  </r>
  <r>
    <x v="14"/>
    <x v="2"/>
    <x v="6"/>
    <m/>
    <m/>
    <m/>
    <m/>
  </r>
  <r>
    <x v="15"/>
    <x v="1"/>
    <x v="2"/>
    <m/>
    <m/>
    <m/>
    <m/>
  </r>
  <r>
    <x v="16"/>
    <x v="1"/>
    <x v="2"/>
    <m/>
    <m/>
    <m/>
    <m/>
  </r>
  <r>
    <x v="17"/>
    <x v="0"/>
    <x v="3"/>
    <m/>
    <m/>
    <m/>
    <m/>
  </r>
  <r>
    <x v="18"/>
    <x v="0"/>
    <x v="3"/>
    <m/>
    <m/>
    <m/>
    <m/>
  </r>
  <r>
    <x v="19"/>
    <x v="0"/>
    <x v="3"/>
    <m/>
    <m/>
    <m/>
    <m/>
  </r>
  <r>
    <x v="20"/>
    <x v="0"/>
    <x v="3"/>
    <m/>
    <m/>
    <m/>
    <m/>
  </r>
  <r>
    <x v="21"/>
    <x v="0"/>
    <x v="1"/>
    <m/>
    <m/>
    <m/>
    <m/>
  </r>
  <r>
    <x v="22"/>
    <x v="0"/>
    <x v="5"/>
    <m/>
    <m/>
    <m/>
    <m/>
  </r>
  <r>
    <x v="23"/>
    <x v="0"/>
    <x v="3"/>
    <m/>
    <m/>
    <m/>
    <m/>
  </r>
  <r>
    <x v="24"/>
    <x v="2"/>
    <x v="6"/>
    <m/>
    <m/>
    <m/>
    <m/>
  </r>
  <r>
    <x v="25"/>
    <x v="2"/>
    <x v="6"/>
    <m/>
    <m/>
    <m/>
    <m/>
  </r>
  <r>
    <x v="26"/>
    <x v="2"/>
    <x v="6"/>
    <m/>
    <m/>
    <m/>
    <m/>
  </r>
  <r>
    <x v="27"/>
    <x v="0"/>
    <x v="3"/>
    <m/>
    <m/>
    <m/>
    <m/>
  </r>
  <r>
    <x v="28"/>
    <x v="0"/>
    <x v="3"/>
    <m/>
    <m/>
    <m/>
    <m/>
  </r>
  <r>
    <x v="29"/>
    <x v="0"/>
    <x v="3"/>
    <m/>
    <m/>
    <m/>
    <m/>
  </r>
  <r>
    <x v="30"/>
    <x v="0"/>
    <x v="3"/>
    <m/>
    <m/>
    <m/>
    <m/>
  </r>
  <r>
    <x v="31"/>
    <x v="0"/>
    <x v="5"/>
    <m/>
    <m/>
    <m/>
    <m/>
  </r>
  <r>
    <x v="32"/>
    <x v="1"/>
    <x v="2"/>
    <m/>
    <m/>
    <m/>
    <m/>
  </r>
  <r>
    <x v="33"/>
    <x v="2"/>
    <x v="6"/>
    <m/>
    <m/>
    <m/>
    <m/>
  </r>
  <r>
    <x v="34"/>
    <x v="0"/>
    <x v="5"/>
    <m/>
    <m/>
    <m/>
    <m/>
  </r>
  <r>
    <x v="35"/>
    <x v="2"/>
    <x v="6"/>
    <m/>
    <m/>
    <m/>
    <m/>
  </r>
  <r>
    <x v="36"/>
    <x v="2"/>
    <x v="6"/>
    <m/>
    <m/>
    <m/>
    <m/>
  </r>
  <r>
    <x v="37"/>
    <x v="0"/>
    <x v="3"/>
    <m/>
    <m/>
    <m/>
    <m/>
  </r>
  <r>
    <x v="38"/>
    <x v="2"/>
    <x v="6"/>
    <m/>
    <m/>
    <m/>
    <m/>
  </r>
  <r>
    <x v="39"/>
    <x v="2"/>
    <x v="6"/>
    <m/>
    <m/>
    <m/>
    <m/>
  </r>
  <r>
    <x v="40"/>
    <x v="0"/>
    <x v="3"/>
    <m/>
    <m/>
    <m/>
    <m/>
  </r>
  <r>
    <x v="41"/>
    <x v="1"/>
    <x v="2"/>
    <m/>
    <m/>
    <m/>
    <m/>
  </r>
  <r>
    <x v="42"/>
    <x v="0"/>
    <x v="3"/>
    <m/>
    <m/>
    <m/>
    <m/>
  </r>
  <r>
    <x v="43"/>
    <x v="0"/>
    <x v="5"/>
    <m/>
    <m/>
    <m/>
    <m/>
  </r>
  <r>
    <x v="44"/>
    <x v="1"/>
    <x v="2"/>
    <m/>
    <m/>
    <m/>
    <m/>
  </r>
  <r>
    <x v="45"/>
    <x v="1"/>
    <x v="2"/>
    <m/>
    <m/>
    <m/>
    <m/>
  </r>
  <r>
    <x v="46"/>
    <x v="1"/>
    <x v="2"/>
    <m/>
    <m/>
    <m/>
    <m/>
  </r>
  <r>
    <x v="47"/>
    <x v="1"/>
    <x v="2"/>
    <m/>
    <m/>
    <m/>
    <m/>
  </r>
  <r>
    <x v="48"/>
    <x v="1"/>
    <x v="2"/>
    <m/>
    <m/>
    <m/>
    <m/>
  </r>
  <r>
    <x v="49"/>
    <x v="0"/>
    <x v="7"/>
    <m/>
    <m/>
    <m/>
    <m/>
  </r>
  <r>
    <x v="50"/>
    <x v="1"/>
    <x v="2"/>
    <m/>
    <m/>
    <m/>
    <m/>
  </r>
  <r>
    <x v="51"/>
    <x v="0"/>
    <x v="3"/>
    <m/>
    <m/>
    <m/>
    <m/>
  </r>
  <r>
    <x v="52"/>
    <x v="1"/>
    <x v="2"/>
    <m/>
    <m/>
    <m/>
    <m/>
  </r>
  <r>
    <x v="53"/>
    <x v="1"/>
    <x v="2"/>
    <m/>
    <m/>
    <m/>
    <m/>
  </r>
  <r>
    <x v="54"/>
    <x v="1"/>
    <x v="2"/>
    <m/>
    <m/>
    <m/>
    <m/>
  </r>
  <r>
    <x v="55"/>
    <x v="1"/>
    <x v="2"/>
    <m/>
    <m/>
    <m/>
    <m/>
  </r>
  <r>
    <x v="56"/>
    <x v="0"/>
    <x v="3"/>
    <m/>
    <m/>
    <m/>
    <m/>
  </r>
  <r>
    <x v="57"/>
    <x v="1"/>
    <x v="2"/>
    <m/>
    <m/>
    <m/>
    <m/>
  </r>
  <r>
    <x v="58"/>
    <x v="0"/>
    <x v="3"/>
    <m/>
    <m/>
    <m/>
    <m/>
  </r>
  <r>
    <x v="59"/>
    <x v="0"/>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1EF1EA-38DB-4705-A376-E1BB6B0C30FC}"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36" firstHeaderRow="1" firstDataRow="1" firstDataCol="2"/>
  <pivotFields count="7">
    <pivotField axis="axisRow" compact="0" outline="0" showAll="0" defaultSubtotal="0">
      <items count="60">
        <item x="20"/>
        <item x="52"/>
        <item x="50"/>
        <item x="15"/>
        <item x="32"/>
        <item x="11"/>
        <item x="21"/>
        <item x="46"/>
        <item x="37"/>
        <item x="17"/>
        <item x="16"/>
        <item x="3"/>
        <item x="29"/>
        <item x="2"/>
        <item x="26"/>
        <item x="36"/>
        <item x="13"/>
        <item x="53"/>
        <item x="27"/>
        <item x="18"/>
        <item x="30"/>
        <item x="33"/>
        <item x="8"/>
        <item x="45"/>
        <item x="34"/>
        <item x="5"/>
        <item x="47"/>
        <item x="51"/>
        <item x="12"/>
        <item x="48"/>
        <item x="1"/>
        <item x="57"/>
        <item x="7"/>
        <item x="59"/>
        <item x="54"/>
        <item x="44"/>
        <item x="39"/>
        <item x="35"/>
        <item x="28"/>
        <item x="6"/>
        <item x="49"/>
        <item x="43"/>
        <item x="55"/>
        <item x="22"/>
        <item x="25"/>
        <item x="41"/>
        <item x="14"/>
        <item x="10"/>
        <item x="4"/>
        <item x="0"/>
        <item x="24"/>
        <item x="42"/>
        <item x="31"/>
        <item x="56"/>
        <item x="38"/>
        <item x="58"/>
        <item x="23"/>
        <item x="9"/>
        <item x="19"/>
        <item x="40"/>
      </items>
    </pivotField>
    <pivotField compact="0" outline="0" showAll="0" sortType="descending" defaultSubtotal="0">
      <items count="3">
        <item x="0"/>
        <item h="1" x="1"/>
        <item h="1" x="2"/>
      </items>
    </pivotField>
    <pivotField axis="axisRow" compact="0" outline="0" showAll="0" defaultSubtotal="0">
      <items count="8">
        <item x="6"/>
        <item x="3"/>
        <item x="5"/>
        <item x="1"/>
        <item x="4"/>
        <item x="0"/>
        <item x="7"/>
        <item x="2"/>
      </items>
    </pivotField>
    <pivotField compact="0" outline="0" showAll="0" defaultSubtotal="0"/>
    <pivotField compact="0" outline="0" showAll="0" defaultSubtotal="0"/>
    <pivotField compact="0" outline="0" showAll="0" defaultSubtotal="0"/>
    <pivotField compact="0" outline="0" showAll="0" defaultSubtotal="0"/>
  </pivotFields>
  <rowFields count="2">
    <field x="2"/>
    <field x="0"/>
  </rowFields>
  <rowItems count="35">
    <i>
      <x v="1"/>
      <x/>
    </i>
    <i r="1">
      <x v="8"/>
    </i>
    <i r="1">
      <x v="9"/>
    </i>
    <i r="1">
      <x v="11"/>
    </i>
    <i r="1">
      <x v="12"/>
    </i>
    <i r="1">
      <x v="16"/>
    </i>
    <i r="1">
      <x v="18"/>
    </i>
    <i r="1">
      <x v="19"/>
    </i>
    <i r="1">
      <x v="20"/>
    </i>
    <i r="1">
      <x v="27"/>
    </i>
    <i r="1">
      <x v="28"/>
    </i>
    <i r="1">
      <x v="32"/>
    </i>
    <i r="1">
      <x v="33"/>
    </i>
    <i r="1">
      <x v="38"/>
    </i>
    <i r="1">
      <x v="47"/>
    </i>
    <i r="1">
      <x v="48"/>
    </i>
    <i r="1">
      <x v="51"/>
    </i>
    <i r="1">
      <x v="53"/>
    </i>
    <i r="1">
      <x v="55"/>
    </i>
    <i r="1">
      <x v="56"/>
    </i>
    <i r="1">
      <x v="57"/>
    </i>
    <i r="1">
      <x v="58"/>
    </i>
    <i r="1">
      <x v="59"/>
    </i>
    <i>
      <x v="2"/>
      <x v="24"/>
    </i>
    <i r="1">
      <x v="39"/>
    </i>
    <i r="1">
      <x v="41"/>
    </i>
    <i r="1">
      <x v="43"/>
    </i>
    <i r="1">
      <x v="52"/>
    </i>
    <i>
      <x v="3"/>
      <x v="6"/>
    </i>
    <i r="1">
      <x v="30"/>
    </i>
    <i>
      <x v="4"/>
      <x v="22"/>
    </i>
    <i r="1">
      <x v="25"/>
    </i>
    <i>
      <x v="5"/>
      <x v="49"/>
    </i>
    <i>
      <x v="6"/>
      <x v="4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uld_I_Call?" xr10:uid="{9AC3E9B3-B11A-4E94-91F5-4095F2E91B51}" sourceName="Should I Call?">
  <pivotTables>
    <pivotTable tabId="10" name="PivotTable1"/>
  </pivotTables>
  <data>
    <tabular pivotCacheId="480008372">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uld I Call?" xr10:uid="{751BFF84-2831-4E5B-B460-FE9BDF14EA3D}" cache="Slicer_Should_I_Call?" caption="Should I Cal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DDF055-8607-49C0-BEC9-DA196117B322}" name="Table1" displayName="Table1" ref="A1:I41" totalsRowShown="0" headerRowDxfId="17">
  <autoFilter ref="A1:I41" xr:uid="{13DDF055-8607-49C0-BEC9-DA196117B322}"/>
  <sortState xmlns:xlrd2="http://schemas.microsoft.com/office/spreadsheetml/2017/richdata2" ref="A2:H41">
    <sortCondition ref="C1:C41"/>
  </sortState>
  <tableColumns count="9">
    <tableColumn id="1" xr3:uid="{71060673-24F7-4A5F-BAA9-B90895680034}" name="Call Dt."/>
    <tableColumn id="4" xr3:uid="{35D04FA1-7736-44D2-905D-C148A9BFC43D}" name="Campaign"/>
    <tableColumn id="2" xr3:uid="{E4135CD0-EADC-4EC9-AAFA-C16BE375E0AA}" name="S/N"/>
    <tableColumn id="8" xr3:uid="{900277E8-DE4E-4443-BEE9-70E86058286A}" name="Lead Status"/>
    <tableColumn id="3" xr3:uid="{1D85EC8D-422F-4E75-BAA6-69AC0F0F58A0}" name="Name" dataDxfId="16"/>
    <tableColumn id="5" xr3:uid="{849938CE-CAFF-4283-9BAD-E44BB58AEAD0}" name="Remark"/>
    <tableColumn id="6" xr3:uid="{F3214EF9-BE3A-492D-9A90-B82709BEADC3}" name="Remark 2"/>
    <tableColumn id="7" xr3:uid="{0FACB2C4-E4A3-4970-9211-A8B0593C22EB}" name="Action Point"/>
    <tableColumn id="9" xr3:uid="{0B3F559C-B1EF-4033-B441-9F08D9EA30E3}" name="Remark 3"/>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 dockstate="right" visibility="0" width="438" row="1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AF91E49-B53D-4217-9E6A-D5A83162B531}">
  <we:reference id="wa200006575" version="1.0.0.3" store="en-US" storeType="OMEX"/>
  <we:alternateReferences>
    <we:reference id="wa200006575" version="1.0.0.3" store="wa20000657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796FF6D8-4923-4D0E-AFF1-739FF0182F93}">
  <we:reference id="wa200005502" version="1.0.0.11" store="en-US" storeType="OMEX"/>
  <we:alternateReferences>
    <we:reference id="WA200005502" version="1.0.0.11" store="" storeType="OMEX"/>
  </we:alternateReferences>
  <we:properties>
    <we:property name="docId" value="&quot;tZABqLMWuNXYKXKBjSUo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rahate_ankita@rediffmail.com" TargetMode="External"/><Relationship Id="rId13" Type="http://schemas.openxmlformats.org/officeDocument/2006/relationships/printerSettings" Target="../printerSettings/printerSettings1.bin"/><Relationship Id="rId3" Type="http://schemas.openxmlformats.org/officeDocument/2006/relationships/hyperlink" Target="mailto:utkarshah05@gmail.com" TargetMode="External"/><Relationship Id="rId7" Type="http://schemas.openxmlformats.org/officeDocument/2006/relationships/hyperlink" Target="mailto:sayalig077@gmail.com" TargetMode="External"/><Relationship Id="rId12" Type="http://schemas.openxmlformats.org/officeDocument/2006/relationships/hyperlink" Target="mailto:Amrut.chavan@kotak.com" TargetMode="External"/><Relationship Id="rId2" Type="http://schemas.openxmlformats.org/officeDocument/2006/relationships/hyperlink" Target="mailto:kunalmitramustaphi@gmail.com" TargetMode="External"/><Relationship Id="rId16" Type="http://schemas.openxmlformats.org/officeDocument/2006/relationships/comments" Target="../comments1.xml"/><Relationship Id="rId1" Type="http://schemas.openxmlformats.org/officeDocument/2006/relationships/hyperlink" Target="mailto:Akshay02_shah@yahoo.co.in" TargetMode="External"/><Relationship Id="rId6" Type="http://schemas.openxmlformats.org/officeDocument/2006/relationships/hyperlink" Target="mailto:p12nishantk@iimidr.ac.in" TargetMode="External"/><Relationship Id="rId11" Type="http://schemas.openxmlformats.org/officeDocument/2006/relationships/hyperlink" Target="mailto:miltonsequeira06@gmail.com" TargetMode="External"/><Relationship Id="rId5" Type="http://schemas.openxmlformats.org/officeDocument/2006/relationships/hyperlink" Target="mailto:sanjoymukherjee74@gmail.com" TargetMode="External"/><Relationship Id="rId15" Type="http://schemas.openxmlformats.org/officeDocument/2006/relationships/vmlDrawing" Target="../drawings/vmlDrawing1.vml"/><Relationship Id="rId10" Type="http://schemas.openxmlformats.org/officeDocument/2006/relationships/hyperlink" Target="mailto:harish_suri@hotmail.com" TargetMode="External"/><Relationship Id="rId4" Type="http://schemas.openxmlformats.org/officeDocument/2006/relationships/hyperlink" Target="mailto:write2schoudhury@gmail.com" TargetMode="External"/><Relationship Id="rId9" Type="http://schemas.openxmlformats.org/officeDocument/2006/relationships/hyperlink" Target="mailto:sachin.kharapkar@outlook.com" TargetMode="Externa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pageSetUpPr fitToPage="1"/>
  </sheetPr>
  <dimension ref="A1:X151"/>
  <sheetViews>
    <sheetView tabSelected="1" zoomScaleNormal="100" workbookViewId="0">
      <pane xSplit="11" ySplit="2" topLeftCell="L3" activePane="bottomRight" state="frozen"/>
      <selection pane="topRight" activeCell="H1" sqref="H1"/>
      <selection pane="bottomLeft" activeCell="A3" sqref="A3"/>
      <selection pane="bottomRight" activeCell="F14" sqref="F14"/>
    </sheetView>
  </sheetViews>
  <sheetFormatPr baseColWidth="10" defaultColWidth="8.83203125" defaultRowHeight="15" x14ac:dyDescent="0.2"/>
  <cols>
    <col min="1" max="1" width="3.83203125" style="3" customWidth="1"/>
    <col min="2" max="2" width="11.83203125" style="3" customWidth="1"/>
    <col min="3" max="3" width="19.5" bestFit="1" customWidth="1"/>
    <col min="4" max="4" width="10.33203125" customWidth="1"/>
    <col min="5" max="5" width="9.6640625" customWidth="1"/>
    <col min="6" max="6" width="21.6640625" customWidth="1"/>
    <col min="7" max="7" width="9.6640625" customWidth="1"/>
    <col min="8" max="8" width="29.83203125" bestFit="1" customWidth="1"/>
    <col min="9" max="9" width="8.5" bestFit="1" customWidth="1"/>
    <col min="10" max="10" width="7" style="3" bestFit="1" customWidth="1"/>
    <col min="11" max="11" width="16.6640625" bestFit="1" customWidth="1"/>
    <col min="12" max="12" width="7.5" style="3" bestFit="1" customWidth="1"/>
    <col min="13" max="13" width="5.1640625" style="3" bestFit="1" customWidth="1"/>
    <col min="14" max="14" width="11.1640625" style="3" bestFit="1" customWidth="1"/>
    <col min="15" max="15" width="10.5" style="3" bestFit="1" customWidth="1"/>
    <col min="16" max="18" width="8.83203125" style="3"/>
    <col min="20" max="20" width="8.83203125" style="3"/>
  </cols>
  <sheetData>
    <row r="1" spans="1:24" s="28" customFormat="1" ht="31" x14ac:dyDescent="0.35">
      <c r="A1" s="31">
        <f>MAX(A3:A2026)</f>
        <v>60</v>
      </c>
      <c r="B1" s="32">
        <f>COUNTIF(E3:E523,"Paused")</f>
        <v>22</v>
      </c>
      <c r="C1" s="31">
        <f>COUNTIF(B3:B523,"To Resume")</f>
        <v>6</v>
      </c>
      <c r="D1" s="31"/>
      <c r="E1" s="33">
        <f>B1-C1</f>
        <v>16</v>
      </c>
      <c r="F1" s="33"/>
      <c r="G1" s="33"/>
      <c r="H1" s="31">
        <f>COUNTIF(I3:I523,"No Pay")</f>
        <v>1</v>
      </c>
      <c r="I1" s="31">
        <f>COUNTIF(I3:I220,"Live")</f>
        <v>29</v>
      </c>
      <c r="J1" s="29">
        <f>COUNTIF(E3:E523,"New")</f>
        <v>5</v>
      </c>
      <c r="K1" s="30">
        <f ca="1">I1-J1-N1</f>
        <v>-5</v>
      </c>
      <c r="L1" s="27"/>
      <c r="M1" s="27"/>
      <c r="N1" s="46">
        <f ca="1">COUNTIF(N2:N220,"Alert")</f>
        <v>29</v>
      </c>
      <c r="O1" s="10">
        <f>COUNTIF(P2:Z207,"Yes")</f>
        <v>162</v>
      </c>
      <c r="P1" s="37"/>
      <c r="Q1" s="27"/>
      <c r="R1" s="27"/>
      <c r="S1" s="27"/>
      <c r="T1" s="27"/>
      <c r="U1" s="27"/>
    </row>
    <row r="2" spans="1:24" x14ac:dyDescent="0.2">
      <c r="A2" s="11" t="s">
        <v>0</v>
      </c>
      <c r="B2" s="11" t="s">
        <v>1</v>
      </c>
      <c r="C2" s="1" t="s">
        <v>2</v>
      </c>
      <c r="D2" s="1" t="s">
        <v>3</v>
      </c>
      <c r="E2" s="1" t="s">
        <v>4</v>
      </c>
      <c r="F2" s="1" t="s">
        <v>5</v>
      </c>
      <c r="G2" s="1" t="s">
        <v>6</v>
      </c>
      <c r="H2" s="1" t="s">
        <v>7</v>
      </c>
      <c r="I2" s="1" t="s">
        <v>8</v>
      </c>
      <c r="J2" s="11" t="s">
        <v>9</v>
      </c>
      <c r="K2" s="1" t="s">
        <v>10</v>
      </c>
      <c r="L2" s="11" t="s">
        <v>11</v>
      </c>
      <c r="M2" s="11" t="s">
        <v>12</v>
      </c>
      <c r="N2" s="6" t="s">
        <v>13</v>
      </c>
      <c r="O2" s="11" t="s">
        <v>14</v>
      </c>
      <c r="P2" s="7" t="s">
        <v>15</v>
      </c>
      <c r="Q2" s="7" t="s">
        <v>16</v>
      </c>
      <c r="R2" s="7" t="s">
        <v>17</v>
      </c>
      <c r="S2" s="7" t="s">
        <v>18</v>
      </c>
      <c r="T2" s="7" t="s">
        <v>19</v>
      </c>
      <c r="U2" s="7" t="s">
        <v>20</v>
      </c>
      <c r="V2" s="7" t="s">
        <v>21</v>
      </c>
      <c r="W2" s="7" t="s">
        <v>310</v>
      </c>
      <c r="X2" s="7" t="s">
        <v>311</v>
      </c>
    </row>
    <row r="3" spans="1:24" x14ac:dyDescent="0.2">
      <c r="A3" s="3" cm="1">
        <f t="array" ref="A3:A62">_xlfn.SEQUENCE(COUNTA(C3:C1048576))</f>
        <v>1</v>
      </c>
      <c r="C3" s="36" t="s">
        <v>250</v>
      </c>
      <c r="D3" s="9"/>
      <c r="E3" s="9" t="s">
        <v>8</v>
      </c>
      <c r="F3" s="9"/>
      <c r="G3" s="9">
        <v>40</v>
      </c>
      <c r="H3" s="9" t="s">
        <v>249</v>
      </c>
      <c r="I3" s="55" t="s">
        <v>110</v>
      </c>
      <c r="J3" s="12">
        <f t="shared" ref="J3:J35" ca="1" si="0">TODAY()-O3-G3</f>
        <v>471</v>
      </c>
      <c r="K3" s="9" t="s">
        <v>298</v>
      </c>
      <c r="L3" s="14">
        <f t="shared" ref="L3:L35" ca="1" si="1">(J3-M3)/30</f>
        <v>15</v>
      </c>
      <c r="M3" s="14">
        <f t="shared" ref="M3:M35" ca="1" si="2">MOD(J3,30)</f>
        <v>21</v>
      </c>
      <c r="N3" s="5" t="str">
        <f t="shared" ref="N3:N35" si="3">IF(I3="No Pay","",IF(I3="Paused","",IF(L3="","",IF((COUNTIF(P3:AA3,"Yes"))-(COUNTIF(P3:AA3,"Pause"))&lt;L3+1,"Alert",""))))</f>
        <v/>
      </c>
      <c r="O3" s="38">
        <v>45668</v>
      </c>
      <c r="P3" s="3" t="s">
        <v>38</v>
      </c>
      <c r="Q3" s="3" t="s">
        <v>110</v>
      </c>
    </row>
    <row r="4" spans="1:24" x14ac:dyDescent="0.2">
      <c r="A4" s="3">
        <v>2</v>
      </c>
      <c r="C4" s="36" t="s">
        <v>187</v>
      </c>
      <c r="D4" s="9"/>
      <c r="E4" s="9" t="s">
        <v>23</v>
      </c>
      <c r="F4" s="9"/>
      <c r="G4" s="9"/>
      <c r="H4" s="9" t="s">
        <v>205</v>
      </c>
      <c r="I4" s="55" t="s">
        <v>8</v>
      </c>
      <c r="J4" s="12">
        <f t="shared" ca="1" si="0"/>
        <v>503</v>
      </c>
      <c r="K4" s="9" t="s">
        <v>191</v>
      </c>
      <c r="L4" s="14">
        <f t="shared" ca="1" si="1"/>
        <v>16</v>
      </c>
      <c r="M4" s="14">
        <f t="shared" ca="1" si="2"/>
        <v>23</v>
      </c>
      <c r="N4" s="5" t="str">
        <f t="shared" ca="1" si="3"/>
        <v>Alert</v>
      </c>
      <c r="O4" s="38">
        <v>45676</v>
      </c>
      <c r="P4" s="3" t="s">
        <v>38</v>
      </c>
      <c r="Q4" s="3" t="s">
        <v>38</v>
      </c>
      <c r="R4" s="3" t="s">
        <v>38</v>
      </c>
    </row>
    <row r="5" spans="1:24" x14ac:dyDescent="0.2">
      <c r="A5" s="3">
        <v>3</v>
      </c>
      <c r="C5" s="36" t="s">
        <v>215</v>
      </c>
      <c r="D5" s="9"/>
      <c r="E5" s="9" t="s">
        <v>23</v>
      </c>
      <c r="F5" s="9"/>
      <c r="G5" s="9"/>
      <c r="H5" s="9" t="s">
        <v>235</v>
      </c>
      <c r="I5" s="55" t="s">
        <v>8</v>
      </c>
      <c r="J5" s="12">
        <f t="shared" ca="1" si="0"/>
        <v>503</v>
      </c>
      <c r="K5" s="9" t="s">
        <v>191</v>
      </c>
      <c r="L5" s="14">
        <f t="shared" ca="1" si="1"/>
        <v>16</v>
      </c>
      <c r="M5" s="14">
        <f t="shared" ca="1" si="2"/>
        <v>23</v>
      </c>
      <c r="N5" s="5" t="str">
        <f t="shared" ca="1" si="3"/>
        <v>Alert</v>
      </c>
      <c r="O5" s="38">
        <v>45676</v>
      </c>
      <c r="P5" s="3" t="s">
        <v>38</v>
      </c>
      <c r="Q5" s="3" t="s">
        <v>38</v>
      </c>
      <c r="R5" s="3" t="s">
        <v>38</v>
      </c>
    </row>
    <row r="6" spans="1:24" x14ac:dyDescent="0.2">
      <c r="A6" s="3">
        <v>4</v>
      </c>
      <c r="C6" s="36" t="s">
        <v>264</v>
      </c>
      <c r="D6" s="9"/>
      <c r="E6" s="9" t="s">
        <v>23</v>
      </c>
      <c r="F6" s="9"/>
      <c r="G6" s="9">
        <v>10</v>
      </c>
      <c r="H6" s="9" t="s">
        <v>265</v>
      </c>
      <c r="I6" s="55" t="s">
        <v>8</v>
      </c>
      <c r="J6" s="12">
        <f t="shared" ca="1" si="0"/>
        <v>493</v>
      </c>
      <c r="K6" s="9" t="s">
        <v>289</v>
      </c>
      <c r="L6" s="14">
        <f t="shared" ca="1" si="1"/>
        <v>16</v>
      </c>
      <c r="M6" s="14">
        <f t="shared" ca="1" si="2"/>
        <v>13</v>
      </c>
      <c r="N6" s="5" t="str">
        <f t="shared" ca="1" si="3"/>
        <v>Alert</v>
      </c>
      <c r="O6" s="38">
        <v>45676</v>
      </c>
      <c r="P6" s="3" t="s">
        <v>38</v>
      </c>
    </row>
    <row r="7" spans="1:24" x14ac:dyDescent="0.2">
      <c r="A7" s="3">
        <v>5</v>
      </c>
      <c r="B7" s="3">
        <v>1</v>
      </c>
      <c r="C7" s="36" t="s">
        <v>305</v>
      </c>
      <c r="D7" s="9" t="s">
        <v>50</v>
      </c>
      <c r="E7" s="9" t="s">
        <v>23</v>
      </c>
      <c r="F7" s="9"/>
      <c r="G7" s="9"/>
      <c r="H7" s="9" t="s">
        <v>306</v>
      </c>
      <c r="I7" s="55" t="s">
        <v>8</v>
      </c>
      <c r="J7" s="12">
        <f t="shared" ca="1" si="0"/>
        <v>496</v>
      </c>
      <c r="K7" s="9" t="s">
        <v>301</v>
      </c>
      <c r="L7" s="14">
        <f t="shared" ref="L7" ca="1" si="4">(J7-M7)/30</f>
        <v>16</v>
      </c>
      <c r="M7" s="14">
        <f t="shared" ref="M7" ca="1" si="5">MOD(J7,30)</f>
        <v>16</v>
      </c>
      <c r="N7" s="5" t="str">
        <f t="shared" ref="N7" ca="1" si="6">IF(I7="No Pay","",IF(I7="Paused","",IF(L7="","",IF((COUNTIF(P7:AA7,"Yes"))-(COUNTIF(P7:AA7,"Pause"))&lt;L7+1,"Alert",""))))</f>
        <v>Alert</v>
      </c>
      <c r="O7" s="38">
        <v>45683</v>
      </c>
      <c r="P7" s="3" t="s">
        <v>38</v>
      </c>
    </row>
    <row r="8" spans="1:24" x14ac:dyDescent="0.2">
      <c r="A8" s="3">
        <v>6</v>
      </c>
      <c r="C8" s="36" t="s">
        <v>303</v>
      </c>
      <c r="D8" s="9" t="s">
        <v>50</v>
      </c>
      <c r="E8" s="9" t="s">
        <v>23</v>
      </c>
      <c r="F8" s="9"/>
      <c r="G8" s="9"/>
      <c r="H8" s="9" t="s">
        <v>308</v>
      </c>
      <c r="I8" s="55" t="s">
        <v>8</v>
      </c>
      <c r="J8" s="12">
        <f t="shared" ref="J8" ca="1" si="7">TODAY()-O8-G8</f>
        <v>482</v>
      </c>
      <c r="K8" s="9" t="s">
        <v>301</v>
      </c>
      <c r="L8" s="14">
        <f t="shared" ref="L8" ca="1" si="8">(J8-M8)/30</f>
        <v>16</v>
      </c>
      <c r="M8" s="14">
        <f t="shared" ref="M8" ca="1" si="9">MOD(J8,30)</f>
        <v>2</v>
      </c>
      <c r="N8" s="5" t="str">
        <f t="shared" ref="N8" ca="1" si="10">IF(I8="No Pay","",IF(I8="Paused","",IF(L8="","",IF((COUNTIF(P8:AA8,"Yes"))-(COUNTIF(P8:AA8,"Pause"))&lt;L8+1,"Alert",""))))</f>
        <v>Alert</v>
      </c>
      <c r="O8" s="38">
        <v>45697</v>
      </c>
    </row>
    <row r="9" spans="1:24" x14ac:dyDescent="0.2">
      <c r="A9" s="3">
        <v>7</v>
      </c>
      <c r="C9" s="36" t="s">
        <v>232</v>
      </c>
      <c r="D9" s="9"/>
      <c r="E9" s="9" t="s">
        <v>8</v>
      </c>
      <c r="F9" s="9"/>
      <c r="G9" s="9"/>
      <c r="H9" s="9" t="s">
        <v>294</v>
      </c>
      <c r="I9" s="55" t="s">
        <v>8</v>
      </c>
      <c r="J9" s="12">
        <f t="shared" ref="J9" ca="1" si="11">TODAY()-O9-G9</f>
        <v>503</v>
      </c>
      <c r="K9" s="9" t="s">
        <v>289</v>
      </c>
      <c r="L9" s="14">
        <f t="shared" ref="L9" ca="1" si="12">(J9-M9)/30</f>
        <v>16</v>
      </c>
      <c r="M9" s="14">
        <f t="shared" ref="M9" ca="1" si="13">MOD(J9,30)</f>
        <v>23</v>
      </c>
      <c r="N9" s="5" t="str">
        <f t="shared" ref="N9" ca="1" si="14">IF(I9="No Pay","",IF(I9="Paused","",IF(L9="","",IF((COUNTIF(P9:AA9,"Yes"))-(COUNTIF(P9:AA9,"Pause"))&lt;L9+1,"Alert",""))))</f>
        <v>Alert</v>
      </c>
      <c r="O9" s="38">
        <v>45676</v>
      </c>
      <c r="P9" s="3" t="s">
        <v>38</v>
      </c>
      <c r="Q9" s="3" t="s">
        <v>38</v>
      </c>
      <c r="R9" s="3" t="s">
        <v>38</v>
      </c>
    </row>
    <row r="10" spans="1:24" x14ac:dyDescent="0.2">
      <c r="A10" s="3">
        <v>8</v>
      </c>
      <c r="C10" s="36" t="s">
        <v>266</v>
      </c>
      <c r="D10" s="9"/>
      <c r="E10" s="9" t="s">
        <v>8</v>
      </c>
      <c r="F10" s="9"/>
      <c r="G10" s="9"/>
      <c r="H10" s="9" t="s">
        <v>288</v>
      </c>
      <c r="I10" s="55" t="s">
        <v>110</v>
      </c>
      <c r="J10" s="12">
        <f t="shared" ca="1" si="0"/>
        <v>503</v>
      </c>
      <c r="K10" s="9" t="s">
        <v>289</v>
      </c>
      <c r="L10" s="14">
        <f t="shared" ca="1" si="1"/>
        <v>16</v>
      </c>
      <c r="M10" s="14">
        <f t="shared" ca="1" si="2"/>
        <v>23</v>
      </c>
      <c r="N10" s="5" t="str">
        <f t="shared" si="3"/>
        <v/>
      </c>
      <c r="O10" s="38">
        <v>45676</v>
      </c>
      <c r="P10" s="3" t="s">
        <v>38</v>
      </c>
      <c r="Q10" s="3" t="s">
        <v>38</v>
      </c>
      <c r="R10" s="3" t="s">
        <v>110</v>
      </c>
    </row>
    <row r="11" spans="1:24" x14ac:dyDescent="0.2">
      <c r="A11" s="3">
        <v>9</v>
      </c>
      <c r="C11" s="36" t="s">
        <v>178</v>
      </c>
      <c r="D11" s="9"/>
      <c r="E11" s="9" t="s">
        <v>8</v>
      </c>
      <c r="F11" s="9"/>
      <c r="G11" s="9"/>
      <c r="H11" s="9" t="s">
        <v>290</v>
      </c>
      <c r="I11" s="55" t="s">
        <v>8</v>
      </c>
      <c r="J11" s="12">
        <f t="shared" ca="1" si="0"/>
        <v>503</v>
      </c>
      <c r="K11" s="9" t="s">
        <v>289</v>
      </c>
      <c r="L11" s="14">
        <f t="shared" ca="1" si="1"/>
        <v>16</v>
      </c>
      <c r="M11" s="14">
        <f t="shared" ca="1" si="2"/>
        <v>23</v>
      </c>
      <c r="N11" s="5" t="str">
        <f t="shared" ca="1" si="3"/>
        <v>Alert</v>
      </c>
      <c r="O11" s="38">
        <v>45676</v>
      </c>
      <c r="P11" s="3" t="s">
        <v>38</v>
      </c>
    </row>
    <row r="12" spans="1:24" x14ac:dyDescent="0.2">
      <c r="A12" s="3">
        <v>10</v>
      </c>
      <c r="C12" s="36" t="s">
        <v>262</v>
      </c>
      <c r="D12" s="9"/>
      <c r="E12" s="9" t="s">
        <v>8</v>
      </c>
      <c r="F12" s="9"/>
      <c r="G12" s="9"/>
      <c r="H12" s="116" t="s">
        <v>263</v>
      </c>
      <c r="I12" s="55" t="s">
        <v>8</v>
      </c>
      <c r="J12" s="12">
        <f t="shared" ca="1" si="0"/>
        <v>503</v>
      </c>
      <c r="K12" s="9" t="s">
        <v>289</v>
      </c>
      <c r="L12" s="14">
        <f t="shared" ca="1" si="1"/>
        <v>16</v>
      </c>
      <c r="M12" s="14">
        <f t="shared" ca="1" si="2"/>
        <v>23</v>
      </c>
      <c r="N12" s="5" t="str">
        <f t="shared" ca="1" si="3"/>
        <v>Alert</v>
      </c>
      <c r="O12" s="38">
        <v>45676</v>
      </c>
      <c r="P12" s="3" t="s">
        <v>38</v>
      </c>
      <c r="Q12" s="3" t="s">
        <v>38</v>
      </c>
      <c r="R12" s="3" t="s">
        <v>38</v>
      </c>
    </row>
    <row r="13" spans="1:24" x14ac:dyDescent="0.2">
      <c r="A13" s="3">
        <v>11</v>
      </c>
      <c r="C13" s="36" t="s">
        <v>184</v>
      </c>
      <c r="D13" s="9"/>
      <c r="E13" s="9" t="s">
        <v>35</v>
      </c>
      <c r="F13" s="9"/>
      <c r="G13" s="9"/>
      <c r="H13" s="9" t="s">
        <v>206</v>
      </c>
      <c r="I13" s="55" t="s">
        <v>8</v>
      </c>
      <c r="J13" s="12">
        <f t="shared" ca="1" si="0"/>
        <v>503</v>
      </c>
      <c r="K13" s="9" t="s">
        <v>289</v>
      </c>
      <c r="L13" s="14">
        <f t="shared" ca="1" si="1"/>
        <v>16</v>
      </c>
      <c r="M13" s="14">
        <f t="shared" ca="1" si="2"/>
        <v>23</v>
      </c>
      <c r="N13" s="5" t="str">
        <f t="shared" ca="1" si="3"/>
        <v>Alert</v>
      </c>
      <c r="O13" s="38">
        <v>45676</v>
      </c>
      <c r="P13" s="3" t="s">
        <v>38</v>
      </c>
      <c r="Q13" s="3" t="s">
        <v>38</v>
      </c>
      <c r="R13" s="3" t="s">
        <v>38</v>
      </c>
    </row>
    <row r="14" spans="1:24" x14ac:dyDescent="0.2">
      <c r="A14" s="3">
        <v>12</v>
      </c>
      <c r="C14" s="9" t="s">
        <v>22</v>
      </c>
      <c r="D14" s="9"/>
      <c r="E14" s="9" t="s">
        <v>8</v>
      </c>
      <c r="F14" s="9"/>
      <c r="G14" s="9"/>
      <c r="H14" s="9" t="s">
        <v>24</v>
      </c>
      <c r="I14" s="55" t="s">
        <v>110</v>
      </c>
      <c r="J14" s="12">
        <f t="shared" ca="1" si="0"/>
        <v>517</v>
      </c>
      <c r="K14" s="9" t="s">
        <v>299</v>
      </c>
      <c r="L14" s="14">
        <f t="shared" ca="1" si="1"/>
        <v>17</v>
      </c>
      <c r="M14" s="14">
        <f t="shared" ca="1" si="2"/>
        <v>7</v>
      </c>
      <c r="N14" s="5" t="str">
        <f t="shared" si="3"/>
        <v/>
      </c>
      <c r="O14" s="38">
        <v>45662</v>
      </c>
      <c r="P14" s="3" t="s">
        <v>38</v>
      </c>
      <c r="Q14" s="3" t="s">
        <v>113</v>
      </c>
    </row>
    <row r="15" spans="1:24" x14ac:dyDescent="0.2">
      <c r="A15" s="3">
        <v>13</v>
      </c>
      <c r="C15" s="36" t="s">
        <v>29</v>
      </c>
      <c r="D15" s="9"/>
      <c r="E15" s="9" t="s">
        <v>8</v>
      </c>
      <c r="F15" s="9"/>
      <c r="G15" s="9"/>
      <c r="H15" s="9" t="s">
        <v>30</v>
      </c>
      <c r="I15" s="55" t="s">
        <v>110</v>
      </c>
      <c r="J15" s="12">
        <f t="shared" ca="1" si="0"/>
        <v>517</v>
      </c>
      <c r="K15" s="9" t="s">
        <v>299</v>
      </c>
      <c r="L15" s="14">
        <f t="shared" ca="1" si="1"/>
        <v>17</v>
      </c>
      <c r="M15" s="14">
        <f t="shared" ca="1" si="2"/>
        <v>7</v>
      </c>
      <c r="N15" s="5" t="str">
        <f t="shared" si="3"/>
        <v/>
      </c>
      <c r="O15" s="38">
        <v>45662</v>
      </c>
      <c r="P15" s="3" t="s">
        <v>38</v>
      </c>
      <c r="Q15" s="3" t="s">
        <v>38</v>
      </c>
      <c r="R15" s="3" t="s">
        <v>113</v>
      </c>
    </row>
    <row r="16" spans="1:24" x14ac:dyDescent="0.2">
      <c r="A16" s="3">
        <v>14</v>
      </c>
      <c r="B16" s="3">
        <v>1</v>
      </c>
      <c r="C16" s="36" t="s">
        <v>149</v>
      </c>
      <c r="D16" s="9"/>
      <c r="E16" s="9" t="s">
        <v>35</v>
      </c>
      <c r="F16" s="9"/>
      <c r="G16" s="9"/>
      <c r="H16" s="9" t="s">
        <v>182</v>
      </c>
      <c r="I16" s="55" t="s">
        <v>110</v>
      </c>
      <c r="J16" s="12">
        <f t="shared" ca="1" si="0"/>
        <v>517</v>
      </c>
      <c r="K16" s="9" t="s">
        <v>299</v>
      </c>
      <c r="L16" s="14">
        <f t="shared" ca="1" si="1"/>
        <v>17</v>
      </c>
      <c r="M16" s="14">
        <f t="shared" ca="1" si="2"/>
        <v>7</v>
      </c>
      <c r="N16" s="5" t="str">
        <f t="shared" si="3"/>
        <v/>
      </c>
      <c r="O16" s="38">
        <v>45662</v>
      </c>
      <c r="P16" s="3" t="s">
        <v>38</v>
      </c>
      <c r="Q16" s="3" t="s">
        <v>38</v>
      </c>
      <c r="R16" s="3" t="s">
        <v>38</v>
      </c>
      <c r="S16" s="3" t="s">
        <v>110</v>
      </c>
    </row>
    <row r="17" spans="1:24" x14ac:dyDescent="0.2">
      <c r="A17" s="3">
        <v>15</v>
      </c>
      <c r="B17" s="3">
        <v>1</v>
      </c>
      <c r="C17" s="36" t="s">
        <v>330</v>
      </c>
      <c r="D17" s="9"/>
      <c r="E17" s="9" t="s">
        <v>35</v>
      </c>
      <c r="F17" s="9"/>
      <c r="G17" s="9"/>
      <c r="H17" s="9" t="s">
        <v>331</v>
      </c>
      <c r="I17" s="55" t="s">
        <v>8</v>
      </c>
      <c r="J17" s="12">
        <f t="shared" ca="1" si="0"/>
        <v>448</v>
      </c>
      <c r="K17" s="9" t="s">
        <v>299</v>
      </c>
      <c r="L17" s="14">
        <f t="shared" ref="L17" ca="1" si="15">(J17-M17)/30</f>
        <v>14</v>
      </c>
      <c r="M17" s="14">
        <f t="shared" ref="M17" ca="1" si="16">MOD(J17,30)</f>
        <v>28</v>
      </c>
      <c r="N17" s="5" t="str">
        <f t="shared" ref="N17" ca="1" si="17">IF(I17="No Pay","",IF(I17="Paused","",IF(L17="","",IF((COUNTIF(P17:AA17,"Yes"))-(COUNTIF(P17:AA17,"Pause"))&lt;L17+1,"Alert",""))))</f>
        <v>Alert</v>
      </c>
      <c r="O17" s="38">
        <v>45731</v>
      </c>
      <c r="P17" s="3" t="s">
        <v>38</v>
      </c>
    </row>
    <row r="18" spans="1:24" x14ac:dyDescent="0.2">
      <c r="A18" s="3">
        <v>16</v>
      </c>
      <c r="C18" s="9" t="s">
        <v>43</v>
      </c>
      <c r="D18" s="9"/>
      <c r="E18" s="9" t="s">
        <v>110</v>
      </c>
      <c r="F18" s="9"/>
      <c r="G18" s="9"/>
      <c r="H18" s="116" t="s">
        <v>44</v>
      </c>
      <c r="I18" s="9" t="s">
        <v>110</v>
      </c>
      <c r="J18" s="12">
        <f t="shared" ca="1" si="0"/>
        <v>559</v>
      </c>
      <c r="K18" s="9" t="s">
        <v>300</v>
      </c>
      <c r="L18" s="14">
        <f t="shared" ca="1" si="1"/>
        <v>18</v>
      </c>
      <c r="M18" s="14">
        <f t="shared" ca="1" si="2"/>
        <v>19</v>
      </c>
      <c r="N18" s="5" t="str">
        <f t="shared" si="3"/>
        <v/>
      </c>
      <c r="O18" s="15">
        <v>45620</v>
      </c>
      <c r="P18" s="3" t="s">
        <v>38</v>
      </c>
      <c r="Q18" s="3" t="s">
        <v>38</v>
      </c>
      <c r="R18" s="3" t="s">
        <v>38</v>
      </c>
      <c r="S18" s="3" t="s">
        <v>110</v>
      </c>
    </row>
    <row r="19" spans="1:24" x14ac:dyDescent="0.2">
      <c r="A19" s="3">
        <v>17</v>
      </c>
      <c r="C19" s="9" t="s">
        <v>45</v>
      </c>
      <c r="D19" s="9"/>
      <c r="E19" s="9" t="s">
        <v>35</v>
      </c>
      <c r="F19" s="9"/>
      <c r="G19" s="9"/>
      <c r="H19" s="9" t="s">
        <v>46</v>
      </c>
      <c r="I19" s="9" t="s">
        <v>110</v>
      </c>
      <c r="J19" s="12">
        <f t="shared" ca="1" si="0"/>
        <v>559</v>
      </c>
      <c r="K19" s="9" t="s">
        <v>300</v>
      </c>
      <c r="L19" s="14">
        <f t="shared" ca="1" si="1"/>
        <v>18</v>
      </c>
      <c r="M19" s="14">
        <f t="shared" ca="1" si="2"/>
        <v>19</v>
      </c>
      <c r="N19" s="5" t="str">
        <f t="shared" si="3"/>
        <v/>
      </c>
      <c r="O19" s="15">
        <v>45620</v>
      </c>
      <c r="P19" s="3" t="s">
        <v>38</v>
      </c>
      <c r="Q19" s="3" t="s">
        <v>38</v>
      </c>
      <c r="R19" s="3" t="s">
        <v>113</v>
      </c>
    </row>
    <row r="20" spans="1:24" x14ac:dyDescent="0.2">
      <c r="A20" s="3">
        <v>18</v>
      </c>
      <c r="C20" s="9" t="s">
        <v>47</v>
      </c>
      <c r="D20" s="36"/>
      <c r="E20" s="9" t="s">
        <v>35</v>
      </c>
      <c r="F20" s="9"/>
      <c r="G20" s="9"/>
      <c r="H20" s="9" t="s">
        <v>48</v>
      </c>
      <c r="I20" s="9" t="s">
        <v>8</v>
      </c>
      <c r="J20" s="12">
        <f t="shared" ca="1" si="0"/>
        <v>552</v>
      </c>
      <c r="K20" s="9" t="s">
        <v>25</v>
      </c>
      <c r="L20" s="14">
        <f t="shared" ca="1" si="1"/>
        <v>18</v>
      </c>
      <c r="M20" s="14">
        <f t="shared" ca="1" si="2"/>
        <v>12</v>
      </c>
      <c r="N20" s="5" t="str">
        <f t="shared" ca="1" si="3"/>
        <v>Alert</v>
      </c>
      <c r="O20" s="15">
        <v>45627</v>
      </c>
      <c r="P20" s="3" t="s">
        <v>38</v>
      </c>
      <c r="Q20" s="3" t="s">
        <v>38</v>
      </c>
      <c r="R20" s="3" t="s">
        <v>38</v>
      </c>
      <c r="S20" s="3" t="s">
        <v>38</v>
      </c>
      <c r="T20" s="3" t="s">
        <v>38</v>
      </c>
    </row>
    <row r="21" spans="1:24" x14ac:dyDescent="0.2">
      <c r="A21" s="3">
        <v>19</v>
      </c>
      <c r="C21" s="9" t="s">
        <v>49</v>
      </c>
      <c r="D21" s="9" t="s">
        <v>50</v>
      </c>
      <c r="E21" s="9" t="s">
        <v>35</v>
      </c>
      <c r="F21" s="9"/>
      <c r="G21" s="9"/>
      <c r="H21" s="9" t="s">
        <v>51</v>
      </c>
      <c r="I21" s="9" t="s">
        <v>110</v>
      </c>
      <c r="J21" s="12">
        <f t="shared" ca="1" si="0"/>
        <v>552</v>
      </c>
      <c r="K21" s="9" t="s">
        <v>301</v>
      </c>
      <c r="L21" s="14">
        <f t="shared" ca="1" si="1"/>
        <v>18</v>
      </c>
      <c r="M21" s="14">
        <f t="shared" ca="1" si="2"/>
        <v>12</v>
      </c>
      <c r="N21" s="5" t="str">
        <f t="shared" si="3"/>
        <v/>
      </c>
      <c r="O21" s="15">
        <v>45627</v>
      </c>
      <c r="P21" s="3" t="s">
        <v>38</v>
      </c>
      <c r="Q21" s="3" t="s">
        <v>113</v>
      </c>
    </row>
    <row r="22" spans="1:24" x14ac:dyDescent="0.2">
      <c r="A22" s="3">
        <v>20</v>
      </c>
      <c r="B22" s="3">
        <v>1</v>
      </c>
      <c r="C22" s="9" t="s">
        <v>53</v>
      </c>
      <c r="D22" s="9"/>
      <c r="E22" s="9" t="s">
        <v>35</v>
      </c>
      <c r="F22" s="9"/>
      <c r="G22" s="9"/>
      <c r="H22" s="9" t="s">
        <v>54</v>
      </c>
      <c r="I22" s="9" t="s">
        <v>8</v>
      </c>
      <c r="J22" s="12">
        <f t="shared" ca="1" si="0"/>
        <v>546</v>
      </c>
      <c r="K22" s="9" t="s">
        <v>25</v>
      </c>
      <c r="L22" s="14">
        <f t="shared" ca="1" si="1"/>
        <v>18</v>
      </c>
      <c r="M22" s="14">
        <f t="shared" ca="1" si="2"/>
        <v>6</v>
      </c>
      <c r="N22" s="5" t="str">
        <f t="shared" ca="1" si="3"/>
        <v>Alert</v>
      </c>
      <c r="O22" s="15">
        <v>45633</v>
      </c>
      <c r="P22" s="3" t="s">
        <v>38</v>
      </c>
      <c r="Q22" s="3" t="s">
        <v>38</v>
      </c>
    </row>
    <row r="23" spans="1:24" x14ac:dyDescent="0.2">
      <c r="A23" s="3">
        <v>21</v>
      </c>
      <c r="C23" s="2" t="s">
        <v>55</v>
      </c>
      <c r="D23" s="9"/>
      <c r="E23" s="9" t="s">
        <v>35</v>
      </c>
      <c r="F23" s="9"/>
      <c r="G23" s="9">
        <v>15</v>
      </c>
      <c r="H23" s="9" t="s">
        <v>56</v>
      </c>
      <c r="I23" s="9" t="s">
        <v>8</v>
      </c>
      <c r="J23" s="12">
        <f t="shared" ca="1" si="0"/>
        <v>531</v>
      </c>
      <c r="K23" s="9" t="s">
        <v>299</v>
      </c>
      <c r="L23" s="14">
        <f t="shared" ca="1" si="1"/>
        <v>17</v>
      </c>
      <c r="M23" s="14">
        <f t="shared" ca="1" si="2"/>
        <v>21</v>
      </c>
      <c r="N23" s="5" t="str">
        <f t="shared" ca="1" si="3"/>
        <v>Alert</v>
      </c>
      <c r="O23" s="15">
        <v>45633</v>
      </c>
      <c r="P23" s="3" t="s">
        <v>38</v>
      </c>
    </row>
    <row r="24" spans="1:24" x14ac:dyDescent="0.2">
      <c r="A24" s="3">
        <v>22</v>
      </c>
      <c r="C24" s="9" t="s">
        <v>57</v>
      </c>
      <c r="D24" s="9"/>
      <c r="E24" s="9" t="s">
        <v>35</v>
      </c>
      <c r="F24" s="9"/>
      <c r="G24" s="9"/>
      <c r="H24" s="116" t="s">
        <v>58</v>
      </c>
      <c r="I24" s="9" t="s">
        <v>8</v>
      </c>
      <c r="J24" s="12">
        <f t="shared" ca="1" si="0"/>
        <v>546</v>
      </c>
      <c r="K24" s="9" t="s">
        <v>25</v>
      </c>
      <c r="L24" s="14">
        <f t="shared" ca="1" si="1"/>
        <v>18</v>
      </c>
      <c r="M24" s="14">
        <f t="shared" ca="1" si="2"/>
        <v>6</v>
      </c>
      <c r="N24" s="5" t="str">
        <f t="shared" ca="1" si="3"/>
        <v>Alert</v>
      </c>
      <c r="O24" s="15">
        <v>45633</v>
      </c>
      <c r="P24" s="3" t="s">
        <v>38</v>
      </c>
    </row>
    <row r="25" spans="1:24" x14ac:dyDescent="0.2">
      <c r="A25" s="3">
        <v>23</v>
      </c>
      <c r="B25" s="3">
        <v>1</v>
      </c>
      <c r="C25" s="36" t="s">
        <v>63</v>
      </c>
      <c r="D25" s="9"/>
      <c r="E25" s="9" t="s">
        <v>35</v>
      </c>
      <c r="F25" s="9"/>
      <c r="G25" s="9"/>
      <c r="H25" s="116" t="s">
        <v>64</v>
      </c>
      <c r="I25" s="9" t="s">
        <v>8</v>
      </c>
      <c r="J25" s="12">
        <f t="shared" ca="1" si="0"/>
        <v>539</v>
      </c>
      <c r="K25" s="9" t="s">
        <v>25</v>
      </c>
      <c r="L25" s="14">
        <f t="shared" ca="1" si="1"/>
        <v>17</v>
      </c>
      <c r="M25" s="14">
        <f t="shared" ca="1" si="2"/>
        <v>29</v>
      </c>
      <c r="N25" s="5" t="str">
        <f t="shared" ca="1" si="3"/>
        <v>Alert</v>
      </c>
      <c r="O25" s="15">
        <v>45640</v>
      </c>
      <c r="P25" s="3" t="s">
        <v>38</v>
      </c>
      <c r="Q25" s="3" t="s">
        <v>38</v>
      </c>
    </row>
    <row r="26" spans="1:24" x14ac:dyDescent="0.2">
      <c r="A26" s="16">
        <v>24</v>
      </c>
      <c r="B26" s="24"/>
      <c r="C26" s="9" t="s">
        <v>65</v>
      </c>
      <c r="D26" s="9"/>
      <c r="E26" s="9" t="s">
        <v>35</v>
      </c>
      <c r="F26" s="9"/>
      <c r="G26" s="9"/>
      <c r="H26" s="9" t="s">
        <v>66</v>
      </c>
      <c r="I26" s="9" t="s">
        <v>110</v>
      </c>
      <c r="J26" s="12">
        <f t="shared" ca="1" si="0"/>
        <v>704</v>
      </c>
      <c r="K26" s="8" t="s">
        <v>302</v>
      </c>
      <c r="L26" s="14">
        <f t="shared" ca="1" si="1"/>
        <v>23</v>
      </c>
      <c r="M26" s="14">
        <f t="shared" ca="1" si="2"/>
        <v>14</v>
      </c>
      <c r="N26" s="5" t="str">
        <f t="shared" si="3"/>
        <v/>
      </c>
      <c r="O26" s="15">
        <v>45475</v>
      </c>
      <c r="P26" s="3" t="s">
        <v>38</v>
      </c>
      <c r="Q26" s="3" t="s">
        <v>38</v>
      </c>
      <c r="R26" s="3" t="s">
        <v>38</v>
      </c>
      <c r="S26" s="3" t="s">
        <v>38</v>
      </c>
      <c r="T26" s="3" t="s">
        <v>38</v>
      </c>
      <c r="U26" s="3" t="s">
        <v>38</v>
      </c>
      <c r="V26" s="3" t="s">
        <v>38</v>
      </c>
      <c r="W26" s="3" t="s">
        <v>38</v>
      </c>
      <c r="X26" s="3" t="s">
        <v>110</v>
      </c>
    </row>
    <row r="27" spans="1:24" x14ac:dyDescent="0.2">
      <c r="A27" s="16">
        <v>25</v>
      </c>
      <c r="B27" s="16">
        <v>1</v>
      </c>
      <c r="C27" s="9" t="s">
        <v>68</v>
      </c>
      <c r="D27" s="9"/>
      <c r="E27" s="9" t="s">
        <v>35</v>
      </c>
      <c r="F27" s="9"/>
      <c r="G27" s="9"/>
      <c r="H27" s="9" t="s">
        <v>69</v>
      </c>
      <c r="I27" s="9" t="s">
        <v>8</v>
      </c>
      <c r="J27" s="12">
        <f t="shared" ca="1" si="0"/>
        <v>704</v>
      </c>
      <c r="K27" s="9" t="s">
        <v>300</v>
      </c>
      <c r="L27" s="14">
        <f t="shared" ca="1" si="1"/>
        <v>23</v>
      </c>
      <c r="M27" s="14">
        <f t="shared" ca="1" si="2"/>
        <v>14</v>
      </c>
      <c r="N27" s="5" t="str">
        <f t="shared" ca="1" si="3"/>
        <v>Alert</v>
      </c>
      <c r="O27" s="15">
        <v>45475</v>
      </c>
      <c r="P27" s="3" t="s">
        <v>38</v>
      </c>
      <c r="Q27" s="3" t="s">
        <v>38</v>
      </c>
      <c r="R27" s="3" t="s">
        <v>38</v>
      </c>
      <c r="S27" s="3" t="s">
        <v>38</v>
      </c>
      <c r="T27" s="3" t="s">
        <v>38</v>
      </c>
      <c r="U27" s="3" t="s">
        <v>38</v>
      </c>
      <c r="V27" s="3" t="s">
        <v>38</v>
      </c>
      <c r="W27" s="3" t="s">
        <v>38</v>
      </c>
    </row>
    <row r="28" spans="1:24" x14ac:dyDescent="0.2">
      <c r="A28" s="16">
        <v>26</v>
      </c>
      <c r="B28" s="16"/>
      <c r="C28" s="9" t="s">
        <v>70</v>
      </c>
      <c r="D28" s="9"/>
      <c r="E28" s="9" t="s">
        <v>35</v>
      </c>
      <c r="F28" s="9"/>
      <c r="G28" s="9"/>
      <c r="H28" s="9" t="s">
        <v>71</v>
      </c>
      <c r="I28" s="9" t="s">
        <v>8</v>
      </c>
      <c r="J28" s="12">
        <f t="shared" ca="1" si="0"/>
        <v>704</v>
      </c>
      <c r="K28" s="8" t="s">
        <v>302</v>
      </c>
      <c r="L28" s="14">
        <f t="shared" ca="1" si="1"/>
        <v>23</v>
      </c>
      <c r="M28" s="14">
        <f t="shared" ca="1" si="2"/>
        <v>14</v>
      </c>
      <c r="N28" s="5" t="str">
        <f t="shared" ca="1" si="3"/>
        <v>Alert</v>
      </c>
      <c r="O28" s="15">
        <v>45475</v>
      </c>
      <c r="P28" s="4" t="s">
        <v>38</v>
      </c>
      <c r="Q28" s="4" t="s">
        <v>38</v>
      </c>
      <c r="R28" s="4" t="s">
        <v>38</v>
      </c>
      <c r="S28" s="4" t="s">
        <v>38</v>
      </c>
      <c r="T28" s="4" t="s">
        <v>38</v>
      </c>
      <c r="U28" s="4" t="s">
        <v>38</v>
      </c>
      <c r="V28" s="4" t="s">
        <v>38</v>
      </c>
      <c r="W28" s="4" t="s">
        <v>38</v>
      </c>
      <c r="X28" s="4" t="s">
        <v>38</v>
      </c>
    </row>
    <row r="29" spans="1:24" x14ac:dyDescent="0.2">
      <c r="A29" s="16">
        <v>27</v>
      </c>
      <c r="B29" s="16">
        <v>1</v>
      </c>
      <c r="C29" s="9" t="s">
        <v>72</v>
      </c>
      <c r="D29" s="9"/>
      <c r="E29" s="9" t="s">
        <v>35</v>
      </c>
      <c r="F29" s="9"/>
      <c r="G29" s="9"/>
      <c r="H29" s="116" t="s">
        <v>73</v>
      </c>
      <c r="I29" s="9" t="s">
        <v>8</v>
      </c>
      <c r="J29" s="12">
        <f t="shared" ca="1" si="0"/>
        <v>699</v>
      </c>
      <c r="K29" s="8" t="s">
        <v>302</v>
      </c>
      <c r="L29" s="14">
        <f t="shared" ca="1" si="1"/>
        <v>23</v>
      </c>
      <c r="M29" s="14">
        <f t="shared" ca="1" si="2"/>
        <v>9</v>
      </c>
      <c r="N29" s="5" t="str">
        <f t="shared" ca="1" si="3"/>
        <v>Alert</v>
      </c>
      <c r="O29" s="15">
        <v>45480</v>
      </c>
      <c r="P29" s="3" t="s">
        <v>38</v>
      </c>
      <c r="Q29" s="3" t="s">
        <v>38</v>
      </c>
      <c r="R29" s="3" t="s">
        <v>38</v>
      </c>
      <c r="S29" s="3" t="s">
        <v>38</v>
      </c>
      <c r="T29" s="3" t="s">
        <v>38</v>
      </c>
      <c r="U29" s="3" t="s">
        <v>38</v>
      </c>
      <c r="V29" s="3" t="s">
        <v>38</v>
      </c>
      <c r="W29" s="3" t="s">
        <v>38</v>
      </c>
    </row>
    <row r="30" spans="1:24" x14ac:dyDescent="0.2">
      <c r="A30" s="16">
        <v>28</v>
      </c>
      <c r="B30" s="16">
        <v>1</v>
      </c>
      <c r="C30" s="9" t="s">
        <v>74</v>
      </c>
      <c r="D30" s="9"/>
      <c r="E30" s="9" t="s">
        <v>35</v>
      </c>
      <c r="F30" s="9"/>
      <c r="G30" s="9"/>
      <c r="H30" s="116" t="s">
        <v>75</v>
      </c>
      <c r="I30" s="9" t="s">
        <v>8</v>
      </c>
      <c r="J30" s="12">
        <f t="shared" ca="1" si="0"/>
        <v>696</v>
      </c>
      <c r="K30" s="8" t="s">
        <v>302</v>
      </c>
      <c r="L30" s="14">
        <f t="shared" ca="1" si="1"/>
        <v>23</v>
      </c>
      <c r="M30" s="14">
        <f t="shared" ca="1" si="2"/>
        <v>6</v>
      </c>
      <c r="N30" s="5" t="str">
        <f t="shared" ca="1" si="3"/>
        <v>Alert</v>
      </c>
      <c r="O30" s="15">
        <v>45483</v>
      </c>
      <c r="P30" s="3" t="s">
        <v>38</v>
      </c>
      <c r="Q30" s="3" t="s">
        <v>38</v>
      </c>
      <c r="R30" s="3" t="s">
        <v>38</v>
      </c>
      <c r="S30" s="3" t="s">
        <v>38</v>
      </c>
      <c r="T30" s="3" t="s">
        <v>38</v>
      </c>
      <c r="U30" s="3" t="s">
        <v>38</v>
      </c>
      <c r="V30" s="3" t="s">
        <v>38</v>
      </c>
      <c r="W30" s="3" t="s">
        <v>38</v>
      </c>
    </row>
    <row r="31" spans="1:24" x14ac:dyDescent="0.2">
      <c r="A31" s="16">
        <v>29</v>
      </c>
      <c r="B31" s="16">
        <v>1</v>
      </c>
      <c r="C31" s="36" t="s">
        <v>76</v>
      </c>
      <c r="D31" s="9"/>
      <c r="E31" s="9" t="s">
        <v>35</v>
      </c>
      <c r="F31" s="9"/>
      <c r="G31" s="9">
        <v>10</v>
      </c>
      <c r="H31" s="9" t="s">
        <v>77</v>
      </c>
      <c r="I31" s="9" t="s">
        <v>8</v>
      </c>
      <c r="J31" s="12">
        <f t="shared" ca="1" si="0"/>
        <v>689</v>
      </c>
      <c r="K31" s="9" t="s">
        <v>300</v>
      </c>
      <c r="L31" s="14">
        <f t="shared" ca="1" si="1"/>
        <v>22</v>
      </c>
      <c r="M31" s="14">
        <f t="shared" ca="1" si="2"/>
        <v>29</v>
      </c>
      <c r="N31" s="5" t="str">
        <f t="shared" ca="1" si="3"/>
        <v>Alert</v>
      </c>
      <c r="O31" s="15">
        <v>45480</v>
      </c>
      <c r="P31" s="3" t="s">
        <v>38</v>
      </c>
      <c r="Q31" s="3" t="s">
        <v>38</v>
      </c>
      <c r="R31" s="3" t="s">
        <v>38</v>
      </c>
      <c r="S31" s="3" t="s">
        <v>38</v>
      </c>
      <c r="T31" s="3" t="s">
        <v>38</v>
      </c>
      <c r="U31" s="3" t="s">
        <v>38</v>
      </c>
      <c r="V31" s="66" t="s">
        <v>38</v>
      </c>
      <c r="W31" s="3" t="s">
        <v>38</v>
      </c>
    </row>
    <row r="32" spans="1:24" x14ac:dyDescent="0.2">
      <c r="A32" s="16">
        <v>30</v>
      </c>
      <c r="B32" s="16">
        <v>1</v>
      </c>
      <c r="C32" s="9" t="s">
        <v>78</v>
      </c>
      <c r="D32" s="9"/>
      <c r="E32" s="9" t="s">
        <v>35</v>
      </c>
      <c r="F32" s="9"/>
      <c r="G32" s="9"/>
      <c r="H32" s="9" t="s">
        <v>79</v>
      </c>
      <c r="I32" s="9" t="s">
        <v>8</v>
      </c>
      <c r="J32" s="12">
        <f t="shared" ca="1" si="0"/>
        <v>699</v>
      </c>
      <c r="K32" s="8" t="s">
        <v>302</v>
      </c>
      <c r="L32" s="14">
        <f t="shared" ca="1" si="1"/>
        <v>23</v>
      </c>
      <c r="M32" s="14">
        <f t="shared" ca="1" si="2"/>
        <v>9</v>
      </c>
      <c r="N32" s="5" t="str">
        <f t="shared" ca="1" si="3"/>
        <v>Alert</v>
      </c>
      <c r="O32" s="15">
        <v>45480</v>
      </c>
      <c r="P32" s="3" t="s">
        <v>38</v>
      </c>
      <c r="Q32" s="4" t="s">
        <v>38</v>
      </c>
      <c r="R32" s="4" t="s">
        <v>38</v>
      </c>
      <c r="S32" s="3" t="s">
        <v>38</v>
      </c>
      <c r="T32" s="3" t="s">
        <v>38</v>
      </c>
      <c r="U32" s="3" t="s">
        <v>38</v>
      </c>
      <c r="V32" s="66" t="s">
        <v>38</v>
      </c>
      <c r="W32" s="66" t="s">
        <v>38</v>
      </c>
    </row>
    <row r="33" spans="1:21" x14ac:dyDescent="0.2">
      <c r="A33" s="16">
        <v>31</v>
      </c>
      <c r="B33" s="16">
        <v>1</v>
      </c>
      <c r="C33" s="9" t="s">
        <v>84</v>
      </c>
      <c r="D33" s="9"/>
      <c r="E33" s="9" t="s">
        <v>35</v>
      </c>
      <c r="F33" s="9"/>
      <c r="G33" s="9"/>
      <c r="H33" s="9" t="s">
        <v>85</v>
      </c>
      <c r="I33" s="9" t="s">
        <v>8</v>
      </c>
      <c r="J33" s="12">
        <f t="shared" ca="1" si="0"/>
        <v>612</v>
      </c>
      <c r="K33" s="8" t="s">
        <v>302</v>
      </c>
      <c r="L33" s="14">
        <f t="shared" ca="1" si="1"/>
        <v>20</v>
      </c>
      <c r="M33" s="14">
        <f t="shared" ca="1" si="2"/>
        <v>12</v>
      </c>
      <c r="N33" s="5" t="str">
        <f t="shared" ca="1" si="3"/>
        <v>Alert</v>
      </c>
      <c r="O33" s="15">
        <v>45567</v>
      </c>
      <c r="P33" s="3" t="s">
        <v>38</v>
      </c>
      <c r="Q33" s="3" t="s">
        <v>38</v>
      </c>
      <c r="R33" s="3" t="s">
        <v>38</v>
      </c>
      <c r="S33" s="3" t="s">
        <v>38</v>
      </c>
      <c r="T33" s="3" t="s">
        <v>38</v>
      </c>
    </row>
    <row r="34" spans="1:21" x14ac:dyDescent="0.2">
      <c r="A34" s="16">
        <v>32</v>
      </c>
      <c r="B34" s="26"/>
      <c r="C34" s="2" t="s">
        <v>86</v>
      </c>
      <c r="D34" s="25"/>
      <c r="E34" s="9" t="s">
        <v>35</v>
      </c>
      <c r="F34" s="9"/>
      <c r="G34" s="9">
        <v>90</v>
      </c>
      <c r="H34" s="17" t="s">
        <v>87</v>
      </c>
      <c r="I34" s="17" t="s">
        <v>8</v>
      </c>
      <c r="J34" s="12">
        <f t="shared" ca="1" si="0"/>
        <v>574</v>
      </c>
      <c r="K34" s="9" t="s">
        <v>301</v>
      </c>
      <c r="L34" s="14">
        <f t="shared" ca="1" si="1"/>
        <v>19</v>
      </c>
      <c r="M34" s="14">
        <f t="shared" ca="1" si="2"/>
        <v>4</v>
      </c>
      <c r="N34" s="5" t="str">
        <f t="shared" ca="1" si="3"/>
        <v>Alert</v>
      </c>
      <c r="O34" s="15">
        <v>45515</v>
      </c>
      <c r="P34" s="3" t="s">
        <v>38</v>
      </c>
    </row>
    <row r="35" spans="1:21" x14ac:dyDescent="0.2">
      <c r="A35" s="16">
        <v>33</v>
      </c>
      <c r="B35" s="16"/>
      <c r="C35" s="36" t="s">
        <v>88</v>
      </c>
      <c r="D35" s="9"/>
      <c r="E35" s="9" t="s">
        <v>35</v>
      </c>
      <c r="F35" s="9"/>
      <c r="G35" s="9">
        <v>103</v>
      </c>
      <c r="H35" s="9" t="s">
        <v>89</v>
      </c>
      <c r="I35" s="9" t="s">
        <v>110</v>
      </c>
      <c r="J35" s="12">
        <f t="shared" ca="1" si="0"/>
        <v>554</v>
      </c>
      <c r="K35" s="9" t="s">
        <v>300</v>
      </c>
      <c r="L35" s="14">
        <f t="shared" ca="1" si="1"/>
        <v>18</v>
      </c>
      <c r="M35" s="14">
        <f t="shared" ca="1" si="2"/>
        <v>14</v>
      </c>
      <c r="N35" s="5" t="str">
        <f t="shared" si="3"/>
        <v/>
      </c>
      <c r="O35" s="15">
        <v>45522</v>
      </c>
      <c r="P35" s="3" t="s">
        <v>38</v>
      </c>
      <c r="Q35" s="3" t="s">
        <v>113</v>
      </c>
    </row>
    <row r="36" spans="1:21" x14ac:dyDescent="0.2">
      <c r="A36" s="16">
        <v>34</v>
      </c>
      <c r="B36" s="16">
        <v>1</v>
      </c>
      <c r="C36" s="9" t="s">
        <v>92</v>
      </c>
      <c r="D36" s="9"/>
      <c r="E36" s="9" t="s">
        <v>35</v>
      </c>
      <c r="F36" s="9"/>
      <c r="G36" s="9">
        <v>82</v>
      </c>
      <c r="H36" s="116" t="s">
        <v>93</v>
      </c>
      <c r="I36" s="9" t="s">
        <v>8</v>
      </c>
      <c r="J36" s="12">
        <f t="shared" ref="J36:J62" ca="1" si="18">TODAY()-O36-G36</f>
        <v>540</v>
      </c>
      <c r="K36" s="8" t="s">
        <v>297</v>
      </c>
      <c r="L36" s="14">
        <f t="shared" ref="L36:L62" ca="1" si="19">(J36-M36)/30</f>
        <v>18</v>
      </c>
      <c r="M36" s="14">
        <f t="shared" ref="M36:M62" ca="1" si="20">MOD(J36,30)</f>
        <v>0</v>
      </c>
      <c r="N36" s="5" t="str">
        <f t="shared" ref="N36:N70" ca="1" si="21">IF(I36="No Pay","",IF(I36="Paused","",IF(L36="","",IF((COUNTIF(P36:AA36,"Yes"))-(COUNTIF(P36:AA36,"Pause"))&lt;L36+1,"Alert",""))))</f>
        <v>Alert</v>
      </c>
      <c r="O36" s="15">
        <v>45557</v>
      </c>
      <c r="P36" s="3" t="s">
        <v>38</v>
      </c>
    </row>
    <row r="37" spans="1:21" x14ac:dyDescent="0.2">
      <c r="A37" s="16">
        <v>35</v>
      </c>
      <c r="B37" s="16">
        <v>1</v>
      </c>
      <c r="C37" s="9" t="s">
        <v>95</v>
      </c>
      <c r="D37" s="9"/>
      <c r="E37" s="9" t="s">
        <v>35</v>
      </c>
      <c r="F37" s="9"/>
      <c r="G37" s="9">
        <v>50</v>
      </c>
      <c r="H37" s="116" t="s">
        <v>96</v>
      </c>
      <c r="I37" s="9" t="s">
        <v>8</v>
      </c>
      <c r="J37" s="12">
        <f t="shared" ca="1" si="18"/>
        <v>607</v>
      </c>
      <c r="K37" s="8" t="s">
        <v>302</v>
      </c>
      <c r="L37" s="14">
        <f t="shared" ca="1" si="19"/>
        <v>20</v>
      </c>
      <c r="M37" s="14">
        <f t="shared" ca="1" si="20"/>
        <v>7</v>
      </c>
      <c r="N37" s="5" t="str">
        <f t="shared" ca="1" si="21"/>
        <v>Alert</v>
      </c>
      <c r="O37" s="15">
        <v>45522</v>
      </c>
      <c r="P37" s="3" t="s">
        <v>38</v>
      </c>
      <c r="Q37" s="3" t="s">
        <v>38</v>
      </c>
      <c r="R37" s="3" t="s">
        <v>38</v>
      </c>
      <c r="S37" s="3" t="s">
        <v>38</v>
      </c>
    </row>
    <row r="38" spans="1:21" x14ac:dyDescent="0.2">
      <c r="A38" s="16">
        <v>36</v>
      </c>
      <c r="B38" s="16"/>
      <c r="C38" s="9" t="s">
        <v>97</v>
      </c>
      <c r="D38" s="9" t="s">
        <v>98</v>
      </c>
      <c r="E38" s="9" t="s">
        <v>35</v>
      </c>
      <c r="F38" s="9"/>
      <c r="G38" s="9"/>
      <c r="H38" s="9" t="s">
        <v>99</v>
      </c>
      <c r="I38" s="9" t="s">
        <v>8</v>
      </c>
      <c r="J38" s="12">
        <f t="shared" ca="1" si="18"/>
        <v>518</v>
      </c>
      <c r="K38" s="8" t="s">
        <v>102</v>
      </c>
      <c r="L38" s="14">
        <f t="shared" ca="1" si="19"/>
        <v>17</v>
      </c>
      <c r="M38" s="14">
        <f t="shared" ca="1" si="20"/>
        <v>8</v>
      </c>
      <c r="N38" s="5" t="str">
        <f t="shared" ca="1" si="21"/>
        <v>Alert</v>
      </c>
      <c r="O38" s="15">
        <v>45661</v>
      </c>
      <c r="P38" s="3" t="s">
        <v>38</v>
      </c>
      <c r="Q38" s="4" t="s">
        <v>38</v>
      </c>
      <c r="R38" s="4"/>
      <c r="S38" s="3"/>
      <c r="U38" s="3"/>
    </row>
    <row r="39" spans="1:21" x14ac:dyDescent="0.2">
      <c r="A39" s="16">
        <v>37</v>
      </c>
      <c r="B39" s="16"/>
      <c r="C39" s="9" t="s">
        <v>100</v>
      </c>
      <c r="D39" s="9" t="s">
        <v>98</v>
      </c>
      <c r="E39" s="9" t="s">
        <v>35</v>
      </c>
      <c r="F39" s="9"/>
      <c r="G39" s="9">
        <v>111</v>
      </c>
      <c r="H39" s="9" t="s">
        <v>101</v>
      </c>
      <c r="I39" s="9" t="s">
        <v>8</v>
      </c>
      <c r="J39" s="12">
        <f t="shared" ca="1" si="18"/>
        <v>518</v>
      </c>
      <c r="K39" s="8" t="s">
        <v>102</v>
      </c>
      <c r="L39" s="14">
        <f t="shared" ca="1" si="19"/>
        <v>17</v>
      </c>
      <c r="M39" s="14">
        <f t="shared" ca="1" si="20"/>
        <v>8</v>
      </c>
      <c r="N39" s="5" t="str">
        <f t="shared" ca="1" si="21"/>
        <v>Alert</v>
      </c>
      <c r="O39" s="15">
        <v>45550</v>
      </c>
      <c r="P39" s="3" t="s">
        <v>38</v>
      </c>
      <c r="Q39" s="3" t="s">
        <v>38</v>
      </c>
      <c r="R39" s="3" t="s">
        <v>38</v>
      </c>
    </row>
    <row r="40" spans="1:21" x14ac:dyDescent="0.2">
      <c r="A40" s="3">
        <v>38</v>
      </c>
      <c r="B40" s="16">
        <v>1</v>
      </c>
      <c r="C40" s="9" t="s">
        <v>59</v>
      </c>
      <c r="D40" s="9"/>
      <c r="E40" s="9" t="s">
        <v>35</v>
      </c>
      <c r="F40" s="9"/>
      <c r="G40" s="9">
        <v>28</v>
      </c>
      <c r="H40" s="116" t="s">
        <v>60</v>
      </c>
      <c r="I40" s="9" t="s">
        <v>8</v>
      </c>
      <c r="J40" s="12">
        <f t="shared" ca="1" si="18"/>
        <v>504</v>
      </c>
      <c r="K40" s="9" t="s">
        <v>299</v>
      </c>
      <c r="L40" s="14">
        <f t="shared" ca="1" si="19"/>
        <v>16</v>
      </c>
      <c r="M40" s="14">
        <f t="shared" ca="1" si="20"/>
        <v>24</v>
      </c>
      <c r="N40" s="5" t="str">
        <f t="shared" ca="1" si="21"/>
        <v>Alert</v>
      </c>
      <c r="O40" s="15">
        <v>45647</v>
      </c>
      <c r="P40" s="3" t="s">
        <v>38</v>
      </c>
    </row>
    <row r="41" spans="1:21" x14ac:dyDescent="0.2">
      <c r="A41" s="16">
        <v>39</v>
      </c>
      <c r="B41" s="16"/>
      <c r="C41" s="9" t="s">
        <v>103</v>
      </c>
      <c r="D41" s="9"/>
      <c r="E41" s="9" t="s">
        <v>35</v>
      </c>
      <c r="F41" s="9"/>
      <c r="G41" s="9"/>
      <c r="H41" s="9" t="s">
        <v>104</v>
      </c>
      <c r="I41" s="9" t="s">
        <v>105</v>
      </c>
      <c r="J41" s="12">
        <f t="shared" ca="1" si="18"/>
        <v>699</v>
      </c>
      <c r="K41" s="8" t="s">
        <v>302</v>
      </c>
      <c r="L41" s="14">
        <f t="shared" ca="1" si="19"/>
        <v>23</v>
      </c>
      <c r="M41" s="14">
        <f t="shared" ca="1" si="20"/>
        <v>9</v>
      </c>
      <c r="N41" s="5" t="str">
        <f t="shared" si="21"/>
        <v/>
      </c>
      <c r="O41" s="15">
        <v>45480</v>
      </c>
    </row>
    <row r="42" spans="1:21" x14ac:dyDescent="0.2">
      <c r="A42" s="16">
        <v>40</v>
      </c>
      <c r="B42" s="24" t="s">
        <v>108</v>
      </c>
      <c r="C42" s="2" t="s">
        <v>82</v>
      </c>
      <c r="D42" s="9"/>
      <c r="E42" s="9" t="s">
        <v>110</v>
      </c>
      <c r="F42" s="9"/>
      <c r="G42" s="9">
        <v>30</v>
      </c>
      <c r="H42" s="116" t="s">
        <v>83</v>
      </c>
      <c r="I42" s="9" t="s">
        <v>110</v>
      </c>
      <c r="J42" s="12">
        <f ca="1">TODAY()-O42-G42</f>
        <v>599</v>
      </c>
      <c r="K42" s="8" t="s">
        <v>302</v>
      </c>
      <c r="L42" s="14">
        <f ca="1">(J42-M42)/30</f>
        <v>19</v>
      </c>
      <c r="M42" s="14">
        <f ca="1">MOD(J42,30)</f>
        <v>29</v>
      </c>
      <c r="N42" s="5" t="str">
        <f>IF(I42="No Pay","",IF(I42="Paused","",IF(L42="","",IF((COUNTIF(P42:AA42,"Yes"))-(COUNTIF(P42:AA42,"Pause"))&lt;L42+1,"Alert",""))))</f>
        <v/>
      </c>
      <c r="O42" s="15">
        <v>45550</v>
      </c>
      <c r="P42" s="3" t="s">
        <v>38</v>
      </c>
      <c r="Q42" s="3" t="s">
        <v>38</v>
      </c>
      <c r="R42" s="3" t="s">
        <v>38</v>
      </c>
      <c r="S42" s="3" t="s">
        <v>38</v>
      </c>
      <c r="T42" s="3" t="s">
        <v>113</v>
      </c>
    </row>
    <row r="43" spans="1:21" x14ac:dyDescent="0.2">
      <c r="A43" s="16">
        <v>41</v>
      </c>
      <c r="B43" s="24" t="s">
        <v>108</v>
      </c>
      <c r="C43" s="2" t="s">
        <v>109</v>
      </c>
      <c r="D43" s="9"/>
      <c r="E43" s="9" t="s">
        <v>110</v>
      </c>
      <c r="F43" s="9" t="s">
        <v>111</v>
      </c>
      <c r="G43" s="9">
        <v>60</v>
      </c>
      <c r="H43" s="9" t="s">
        <v>112</v>
      </c>
      <c r="I43" s="9" t="s">
        <v>110</v>
      </c>
      <c r="J43" s="12">
        <f t="shared" ca="1" si="18"/>
        <v>569</v>
      </c>
      <c r="K43" s="8" t="s">
        <v>94</v>
      </c>
      <c r="L43" s="14">
        <f t="shared" ca="1" si="19"/>
        <v>18</v>
      </c>
      <c r="M43" s="14">
        <f t="shared" ca="1" si="20"/>
        <v>29</v>
      </c>
      <c r="N43" s="5" t="str">
        <f t="shared" si="21"/>
        <v/>
      </c>
      <c r="O43" s="15">
        <v>45550</v>
      </c>
      <c r="P43" s="3" t="s">
        <v>38</v>
      </c>
      <c r="Q43" s="3" t="s">
        <v>38</v>
      </c>
      <c r="R43" s="3" t="s">
        <v>113</v>
      </c>
    </row>
    <row r="44" spans="1:21" x14ac:dyDescent="0.2">
      <c r="A44" s="16">
        <v>42</v>
      </c>
      <c r="B44" s="26" t="s">
        <v>108</v>
      </c>
      <c r="C44" s="2" t="s">
        <v>117</v>
      </c>
      <c r="D44" s="2"/>
      <c r="E44" s="23" t="s">
        <v>110</v>
      </c>
      <c r="F44" s="9" t="s">
        <v>111</v>
      </c>
      <c r="G44" s="23">
        <v>60</v>
      </c>
      <c r="H44" s="9" t="s">
        <v>118</v>
      </c>
      <c r="I44" s="9" t="s">
        <v>110</v>
      </c>
      <c r="J44" s="12">
        <f t="shared" ca="1" si="18"/>
        <v>625</v>
      </c>
      <c r="K44" s="8" t="s">
        <v>67</v>
      </c>
      <c r="L44" s="14">
        <f t="shared" ca="1" si="19"/>
        <v>20</v>
      </c>
      <c r="M44" s="14">
        <f t="shared" ca="1" si="20"/>
        <v>25</v>
      </c>
      <c r="N44" s="5" t="str">
        <f t="shared" si="21"/>
        <v/>
      </c>
      <c r="O44" s="15">
        <v>45494</v>
      </c>
      <c r="P44" s="3" t="s">
        <v>38</v>
      </c>
      <c r="Q44" s="3" t="s">
        <v>38</v>
      </c>
      <c r="R44" s="3" t="s">
        <v>38</v>
      </c>
      <c r="S44" s="3" t="s">
        <v>113</v>
      </c>
    </row>
    <row r="45" spans="1:21" x14ac:dyDescent="0.2">
      <c r="A45" s="16">
        <v>43</v>
      </c>
      <c r="B45" s="26">
        <v>1</v>
      </c>
      <c r="C45" s="2" t="s">
        <v>119</v>
      </c>
      <c r="D45" s="2"/>
      <c r="E45" s="23" t="s">
        <v>110</v>
      </c>
      <c r="F45" s="23" t="s">
        <v>120</v>
      </c>
      <c r="G45" s="23">
        <v>120</v>
      </c>
      <c r="H45" s="116" t="s">
        <v>121</v>
      </c>
      <c r="I45" s="9" t="s">
        <v>8</v>
      </c>
      <c r="J45" s="12">
        <f t="shared" ca="1" si="18"/>
        <v>579</v>
      </c>
      <c r="K45" s="8" t="s">
        <v>122</v>
      </c>
      <c r="L45" s="14">
        <f t="shared" ca="1" si="19"/>
        <v>19</v>
      </c>
      <c r="M45" s="14">
        <f t="shared" ca="1" si="20"/>
        <v>9</v>
      </c>
      <c r="N45" s="5" t="str">
        <f t="shared" ca="1" si="21"/>
        <v>Alert</v>
      </c>
      <c r="O45" s="15">
        <v>45480</v>
      </c>
      <c r="P45" s="3" t="s">
        <v>38</v>
      </c>
      <c r="Q45" s="3" t="s">
        <v>38</v>
      </c>
      <c r="R45" s="3" t="s">
        <v>38</v>
      </c>
      <c r="S45" s="3" t="s">
        <v>38</v>
      </c>
      <c r="T45" s="3" t="s">
        <v>38</v>
      </c>
    </row>
    <row r="46" spans="1:21" x14ac:dyDescent="0.2">
      <c r="A46" s="16">
        <v>44</v>
      </c>
      <c r="B46" s="26" t="s">
        <v>108</v>
      </c>
      <c r="C46" s="2" t="s">
        <v>123</v>
      </c>
      <c r="D46" s="2"/>
      <c r="E46" s="23" t="s">
        <v>110</v>
      </c>
      <c r="F46" s="23" t="s">
        <v>120</v>
      </c>
      <c r="G46" s="23">
        <v>120</v>
      </c>
      <c r="H46" s="116" t="s">
        <v>124</v>
      </c>
      <c r="I46" s="9" t="s">
        <v>110</v>
      </c>
      <c r="J46" s="12">
        <f t="shared" ca="1" si="18"/>
        <v>579</v>
      </c>
      <c r="K46" s="8" t="s">
        <v>122</v>
      </c>
      <c r="L46" s="14">
        <f t="shared" ca="1" si="19"/>
        <v>19</v>
      </c>
      <c r="M46" s="14">
        <f t="shared" ca="1" si="20"/>
        <v>9</v>
      </c>
      <c r="N46" s="5" t="str">
        <f t="shared" si="21"/>
        <v/>
      </c>
      <c r="O46" s="15">
        <v>45480</v>
      </c>
      <c r="P46" s="3" t="s">
        <v>38</v>
      </c>
      <c r="Q46" s="3" t="s">
        <v>38</v>
      </c>
      <c r="R46" s="3" t="s">
        <v>38</v>
      </c>
      <c r="S46" s="3" t="s">
        <v>38</v>
      </c>
      <c r="T46" s="3" t="s">
        <v>113</v>
      </c>
    </row>
    <row r="47" spans="1:21" x14ac:dyDescent="0.2">
      <c r="A47" s="16">
        <v>45</v>
      </c>
      <c r="B47" s="16" t="s">
        <v>108</v>
      </c>
      <c r="C47" s="49" t="s">
        <v>125</v>
      </c>
      <c r="D47" s="2"/>
      <c r="E47" s="23" t="s">
        <v>110</v>
      </c>
      <c r="F47" s="23" t="s">
        <v>120</v>
      </c>
      <c r="G47" s="23"/>
      <c r="H47" s="9" t="s">
        <v>126</v>
      </c>
      <c r="I47" s="9" t="s">
        <v>110</v>
      </c>
      <c r="J47" s="12">
        <f t="shared" ca="1" si="18"/>
        <v>660</v>
      </c>
      <c r="K47" s="8" t="s">
        <v>94</v>
      </c>
      <c r="L47" s="14">
        <f t="shared" ca="1" si="19"/>
        <v>22</v>
      </c>
      <c r="M47" s="14">
        <f t="shared" ca="1" si="20"/>
        <v>0</v>
      </c>
      <c r="N47" s="5" t="str">
        <f t="shared" si="21"/>
        <v/>
      </c>
      <c r="O47" s="15">
        <v>45519</v>
      </c>
      <c r="P47" s="3" t="s">
        <v>38</v>
      </c>
      <c r="Q47" s="3" t="s">
        <v>38</v>
      </c>
      <c r="R47" s="3" t="s">
        <v>113</v>
      </c>
    </row>
    <row r="48" spans="1:21" x14ac:dyDescent="0.2">
      <c r="A48" s="3">
        <v>46</v>
      </c>
      <c r="B48" s="16" t="s">
        <v>108</v>
      </c>
      <c r="C48" s="68" t="s">
        <v>114</v>
      </c>
      <c r="D48" s="9"/>
      <c r="E48" s="22" t="s">
        <v>110</v>
      </c>
      <c r="F48" s="23" t="s">
        <v>295</v>
      </c>
      <c r="G48" s="22"/>
      <c r="H48" s="9" t="s">
        <v>115</v>
      </c>
      <c r="I48" t="s">
        <v>110</v>
      </c>
      <c r="J48" s="12">
        <f t="shared" ca="1" si="18"/>
        <v>587</v>
      </c>
      <c r="K48" s="9" t="s">
        <v>116</v>
      </c>
      <c r="L48" s="3">
        <f t="shared" ca="1" si="19"/>
        <v>19</v>
      </c>
      <c r="M48" s="3">
        <f t="shared" ca="1" si="20"/>
        <v>17</v>
      </c>
      <c r="N48" s="5" t="str">
        <f t="shared" si="21"/>
        <v/>
      </c>
      <c r="O48" s="21">
        <v>45592</v>
      </c>
      <c r="P48" s="3" t="s">
        <v>113</v>
      </c>
    </row>
    <row r="49" spans="1:21" x14ac:dyDescent="0.2">
      <c r="A49" s="16">
        <v>47</v>
      </c>
      <c r="B49" s="16"/>
      <c r="C49" s="9" t="s">
        <v>80</v>
      </c>
      <c r="D49" s="9"/>
      <c r="E49" s="9" t="s">
        <v>110</v>
      </c>
      <c r="F49" s="9"/>
      <c r="G49" s="9"/>
      <c r="H49" s="9" t="s">
        <v>81</v>
      </c>
      <c r="I49" s="9" t="s">
        <v>110</v>
      </c>
      <c r="J49" s="12">
        <f ca="1">TODAY()-O49-G49</f>
        <v>657</v>
      </c>
      <c r="K49" s="8" t="s">
        <v>302</v>
      </c>
      <c r="L49" s="14">
        <f ca="1">(J49-M49)/30</f>
        <v>21</v>
      </c>
      <c r="M49" s="14">
        <f ca="1">MOD(J49,30)</f>
        <v>27</v>
      </c>
      <c r="N49" s="5" t="str">
        <f>IF(I49="No Pay","",IF(I49="Paused","",IF(L49="","",IF((COUNTIF(P49:AA49,"Yes"))-(COUNTIF(P49:AA49,"Pause"))&lt;L49+1,"Alert",""))))</f>
        <v/>
      </c>
      <c r="O49" s="15">
        <v>45522</v>
      </c>
      <c r="P49" s="3" t="s">
        <v>38</v>
      </c>
      <c r="Q49" s="3" t="s">
        <v>38</v>
      </c>
      <c r="R49" s="3" t="s">
        <v>38</v>
      </c>
      <c r="S49" s="3" t="s">
        <v>38</v>
      </c>
      <c r="T49" s="3" t="s">
        <v>38</v>
      </c>
      <c r="U49" s="3" t="s">
        <v>113</v>
      </c>
    </row>
    <row r="50" spans="1:21" x14ac:dyDescent="0.2">
      <c r="A50" s="18">
        <v>48</v>
      </c>
      <c r="B50" s="18"/>
      <c r="C50" s="9" t="s">
        <v>90</v>
      </c>
      <c r="D50" s="9"/>
      <c r="E50" s="9" t="s">
        <v>110</v>
      </c>
      <c r="F50" s="9"/>
      <c r="G50" s="9"/>
      <c r="H50" s="9" t="s">
        <v>91</v>
      </c>
      <c r="I50" s="9" t="s">
        <v>110</v>
      </c>
      <c r="J50" s="12">
        <f ca="1">TODAY()-O50-G50</f>
        <v>587</v>
      </c>
      <c r="K50" s="9" t="s">
        <v>37</v>
      </c>
      <c r="L50" s="14">
        <f ca="1">(J50-M50)/30</f>
        <v>19</v>
      </c>
      <c r="M50" s="14">
        <f ca="1">MOD(J50,30)</f>
        <v>17</v>
      </c>
      <c r="N50" s="5" t="str">
        <f>IF(I50="No Pay","",IF(I50="Paused","",IF(L50="","",IF((COUNTIF(P50:AA50,"Yes"))-(COUNTIF(P50:AA50,"Pause"))&lt;L50+1,"Alert",""))))</f>
        <v/>
      </c>
      <c r="O50" s="21">
        <v>45592</v>
      </c>
      <c r="P50" s="3" t="s">
        <v>38</v>
      </c>
      <c r="Q50" s="3" t="s">
        <v>113</v>
      </c>
    </row>
    <row r="51" spans="1:21" x14ac:dyDescent="0.2">
      <c r="A51" s="3">
        <v>49</v>
      </c>
      <c r="C51" s="9" t="s">
        <v>41</v>
      </c>
      <c r="D51" s="9"/>
      <c r="E51" s="9" t="s">
        <v>110</v>
      </c>
      <c r="F51" s="9"/>
      <c r="G51" s="9"/>
      <c r="H51" s="9" t="s">
        <v>42</v>
      </c>
      <c r="I51" s="9" t="s">
        <v>110</v>
      </c>
      <c r="J51" s="12">
        <f ca="1">TODAY()-O51-G51</f>
        <v>559</v>
      </c>
      <c r="K51" s="9" t="s">
        <v>37</v>
      </c>
      <c r="L51" s="14">
        <f ca="1">(J51-M51)/30</f>
        <v>18</v>
      </c>
      <c r="M51" s="14">
        <f ca="1">MOD(J51,30)</f>
        <v>19</v>
      </c>
      <c r="N51" s="5" t="str">
        <f>IF(I51="No Pay","",IF(I51="Paused","",IF(L51="","",IF((COUNTIF(P51:AA51,"Yes"))-(COUNTIF(P51:AA51,"Pause"))&lt;L51+1,"Alert",""))))</f>
        <v/>
      </c>
      <c r="O51" s="15">
        <v>45620</v>
      </c>
      <c r="P51" s="3" t="s">
        <v>38</v>
      </c>
      <c r="Q51" s="3" t="s">
        <v>113</v>
      </c>
    </row>
    <row r="52" spans="1:21" x14ac:dyDescent="0.2">
      <c r="A52" s="3">
        <v>50</v>
      </c>
      <c r="C52" s="36" t="s">
        <v>32</v>
      </c>
      <c r="D52" s="9"/>
      <c r="E52" s="9" t="s">
        <v>110</v>
      </c>
      <c r="F52" s="9"/>
      <c r="G52" s="9"/>
      <c r="H52" s="9" t="s">
        <v>33</v>
      </c>
      <c r="I52" s="55" t="s">
        <v>110</v>
      </c>
      <c r="J52" s="12">
        <f t="shared" ca="1" si="18"/>
        <v>517</v>
      </c>
      <c r="K52" s="9" t="s">
        <v>28</v>
      </c>
      <c r="L52" s="14">
        <f t="shared" ca="1" si="19"/>
        <v>17</v>
      </c>
      <c r="M52" s="14">
        <f t="shared" ca="1" si="20"/>
        <v>7</v>
      </c>
      <c r="N52" s="5" t="str">
        <f t="shared" si="21"/>
        <v/>
      </c>
      <c r="O52" s="38">
        <v>45662</v>
      </c>
      <c r="P52" s="3" t="s">
        <v>113</v>
      </c>
    </row>
    <row r="53" spans="1:21" x14ac:dyDescent="0.2">
      <c r="A53" s="3">
        <v>51</v>
      </c>
      <c r="C53" s="9" t="s">
        <v>34</v>
      </c>
      <c r="D53" s="9"/>
      <c r="E53" s="9" t="s">
        <v>110</v>
      </c>
      <c r="F53" s="9"/>
      <c r="G53" s="9"/>
      <c r="H53" s="9" t="s">
        <v>36</v>
      </c>
      <c r="I53" t="s">
        <v>110</v>
      </c>
      <c r="J53" s="12">
        <f t="shared" ca="1" si="18"/>
        <v>587</v>
      </c>
      <c r="K53" s="9" t="s">
        <v>37</v>
      </c>
      <c r="L53" s="3">
        <f t="shared" ca="1" si="19"/>
        <v>19</v>
      </c>
      <c r="M53" s="3">
        <f t="shared" ca="1" si="20"/>
        <v>17</v>
      </c>
      <c r="N53" s="5" t="str">
        <f t="shared" si="21"/>
        <v/>
      </c>
      <c r="O53" s="21">
        <v>45592</v>
      </c>
      <c r="P53" s="3" t="s">
        <v>38</v>
      </c>
      <c r="Q53" s="3" t="s">
        <v>113</v>
      </c>
    </row>
    <row r="54" spans="1:21" x14ac:dyDescent="0.2">
      <c r="A54" s="3">
        <v>52</v>
      </c>
      <c r="C54" s="36" t="s">
        <v>61</v>
      </c>
      <c r="D54" s="9" t="s">
        <v>50</v>
      </c>
      <c r="E54" s="9" t="s">
        <v>110</v>
      </c>
      <c r="F54" s="9"/>
      <c r="G54" s="9"/>
      <c r="H54" s="9" t="s">
        <v>62</v>
      </c>
      <c r="I54" s="9" t="s">
        <v>110</v>
      </c>
      <c r="J54" s="12">
        <f t="shared" ca="1" si="18"/>
        <v>546</v>
      </c>
      <c r="K54" s="9" t="s">
        <v>52</v>
      </c>
      <c r="L54" s="14">
        <f t="shared" ca="1" si="19"/>
        <v>18</v>
      </c>
      <c r="M54" s="14">
        <f t="shared" ca="1" si="20"/>
        <v>6</v>
      </c>
      <c r="N54" s="5" t="str">
        <f t="shared" si="21"/>
        <v/>
      </c>
      <c r="O54" s="15">
        <v>45633</v>
      </c>
      <c r="P54" s="3" t="s">
        <v>38</v>
      </c>
      <c r="Q54" s="3" t="s">
        <v>113</v>
      </c>
    </row>
    <row r="55" spans="1:21" x14ac:dyDescent="0.2">
      <c r="A55" s="3">
        <v>53</v>
      </c>
      <c r="C55" s="52" t="s">
        <v>39</v>
      </c>
      <c r="D55" s="9"/>
      <c r="E55" s="9" t="s">
        <v>110</v>
      </c>
      <c r="F55" s="9"/>
      <c r="G55" s="9"/>
      <c r="H55" s="9" t="s">
        <v>40</v>
      </c>
      <c r="I55" s="9" t="s">
        <v>110</v>
      </c>
      <c r="J55" s="12">
        <f t="shared" ca="1" si="18"/>
        <v>559</v>
      </c>
      <c r="K55" s="9" t="s">
        <v>37</v>
      </c>
      <c r="L55" s="14">
        <f t="shared" ca="1" si="19"/>
        <v>18</v>
      </c>
      <c r="M55" s="14">
        <f t="shared" ca="1" si="20"/>
        <v>19</v>
      </c>
      <c r="N55" s="5" t="str">
        <f t="shared" si="21"/>
        <v/>
      </c>
      <c r="O55" s="15">
        <v>45620</v>
      </c>
      <c r="P55" s="3" t="s">
        <v>38</v>
      </c>
      <c r="Q55" s="3" t="s">
        <v>113</v>
      </c>
    </row>
    <row r="56" spans="1:21" x14ac:dyDescent="0.2">
      <c r="A56" s="16">
        <v>54</v>
      </c>
      <c r="B56" s="26"/>
      <c r="C56" s="69" t="s">
        <v>127</v>
      </c>
      <c r="D56" s="22"/>
      <c r="E56" s="23" t="s">
        <v>110</v>
      </c>
      <c r="F56" s="23"/>
      <c r="G56" s="23"/>
      <c r="H56" s="9" t="s">
        <v>128</v>
      </c>
      <c r="I56" s="9" t="s">
        <v>110</v>
      </c>
      <c r="J56" s="12">
        <f t="shared" ca="1" si="18"/>
        <v>691</v>
      </c>
      <c r="K56" s="8" t="s">
        <v>67</v>
      </c>
      <c r="L56" s="14">
        <f t="shared" ca="1" si="19"/>
        <v>23</v>
      </c>
      <c r="M56" s="14">
        <f t="shared" ca="1" si="20"/>
        <v>1</v>
      </c>
      <c r="N56" s="5" t="str">
        <f t="shared" si="21"/>
        <v/>
      </c>
      <c r="O56" s="15">
        <v>45488</v>
      </c>
      <c r="P56" s="3" t="s">
        <v>38</v>
      </c>
      <c r="Q56" s="3" t="s">
        <v>38</v>
      </c>
      <c r="R56" s="3" t="s">
        <v>38</v>
      </c>
      <c r="S56" s="3" t="s">
        <v>113</v>
      </c>
    </row>
    <row r="57" spans="1:21" x14ac:dyDescent="0.2">
      <c r="A57" s="16">
        <v>55</v>
      </c>
      <c r="B57" s="16"/>
      <c r="C57" s="36" t="s">
        <v>129</v>
      </c>
      <c r="D57" s="9"/>
      <c r="E57" s="9" t="s">
        <v>110</v>
      </c>
      <c r="F57" s="9"/>
      <c r="G57" s="9"/>
      <c r="H57" s="9" t="s">
        <v>130</v>
      </c>
      <c r="I57" s="9" t="s">
        <v>110</v>
      </c>
      <c r="J57" s="12">
        <f t="shared" ca="1" si="18"/>
        <v>622</v>
      </c>
      <c r="K57" s="8" t="s">
        <v>94</v>
      </c>
      <c r="L57" s="14">
        <f t="shared" ca="1" si="19"/>
        <v>20</v>
      </c>
      <c r="M57" s="14">
        <f t="shared" ca="1" si="20"/>
        <v>22</v>
      </c>
      <c r="N57" s="5" t="str">
        <f t="shared" si="21"/>
        <v/>
      </c>
      <c r="O57" s="15">
        <v>45557</v>
      </c>
      <c r="P57" s="3" t="s">
        <v>38</v>
      </c>
      <c r="Q57" s="3" t="s">
        <v>113</v>
      </c>
    </row>
    <row r="58" spans="1:21" x14ac:dyDescent="0.2">
      <c r="A58" s="16">
        <v>56</v>
      </c>
      <c r="B58" s="24"/>
      <c r="C58" s="9" t="s">
        <v>131</v>
      </c>
      <c r="D58" s="9"/>
      <c r="E58" s="9" t="s">
        <v>110</v>
      </c>
      <c r="F58" s="9"/>
      <c r="G58" s="9"/>
      <c r="H58" s="9" t="s">
        <v>132</v>
      </c>
      <c r="I58" s="9" t="s">
        <v>110</v>
      </c>
      <c r="J58" s="12">
        <f t="shared" ca="1" si="18"/>
        <v>699</v>
      </c>
      <c r="K58" s="8" t="s">
        <v>94</v>
      </c>
      <c r="L58" s="14">
        <f t="shared" ca="1" si="19"/>
        <v>23</v>
      </c>
      <c r="M58" s="14">
        <f t="shared" ca="1" si="20"/>
        <v>9</v>
      </c>
      <c r="N58" s="5" t="str">
        <f t="shared" si="21"/>
        <v/>
      </c>
      <c r="O58" s="15">
        <v>45480</v>
      </c>
      <c r="P58" s="3" t="s">
        <v>38</v>
      </c>
      <c r="Q58" s="4" t="s">
        <v>38</v>
      </c>
      <c r="R58" s="4" t="s">
        <v>38</v>
      </c>
      <c r="S58" s="3" t="s">
        <v>38</v>
      </c>
      <c r="T58" s="3" t="s">
        <v>38</v>
      </c>
      <c r="U58" s="3" t="s">
        <v>113</v>
      </c>
    </row>
    <row r="59" spans="1:21" x14ac:dyDescent="0.2">
      <c r="A59" s="3">
        <v>57</v>
      </c>
      <c r="C59" s="9" t="s">
        <v>133</v>
      </c>
      <c r="D59" s="9"/>
      <c r="E59" s="9" t="s">
        <v>110</v>
      </c>
      <c r="F59" s="9"/>
      <c r="G59" s="9"/>
      <c r="H59" s="9" t="s">
        <v>134</v>
      </c>
      <c r="I59" s="9" t="s">
        <v>110</v>
      </c>
      <c r="J59" s="12">
        <f t="shared" ca="1" si="18"/>
        <v>559</v>
      </c>
      <c r="K59" s="9" t="s">
        <v>37</v>
      </c>
      <c r="L59" s="14">
        <f t="shared" ca="1" si="19"/>
        <v>18</v>
      </c>
      <c r="M59" s="14">
        <f t="shared" ca="1" si="20"/>
        <v>19</v>
      </c>
      <c r="N59" s="5" t="str">
        <f t="shared" si="21"/>
        <v/>
      </c>
      <c r="O59" s="15">
        <v>45620</v>
      </c>
      <c r="P59" s="3" t="s">
        <v>38</v>
      </c>
      <c r="Q59" s="3" t="s">
        <v>113</v>
      </c>
    </row>
    <row r="60" spans="1:21" x14ac:dyDescent="0.2">
      <c r="A60" s="3">
        <v>58</v>
      </c>
      <c r="C60" s="36" t="s">
        <v>106</v>
      </c>
      <c r="D60" s="9"/>
      <c r="E60" s="9" t="s">
        <v>110</v>
      </c>
      <c r="F60" s="9"/>
      <c r="G60" s="9"/>
      <c r="H60" s="9" t="s">
        <v>107</v>
      </c>
      <c r="I60" s="9" t="s">
        <v>110</v>
      </c>
      <c r="J60" s="12">
        <f t="shared" ca="1" si="18"/>
        <v>573</v>
      </c>
      <c r="K60" s="9" t="s">
        <v>37</v>
      </c>
      <c r="L60" s="14">
        <f t="shared" ca="1" si="19"/>
        <v>19</v>
      </c>
      <c r="M60" s="14">
        <f t="shared" ca="1" si="20"/>
        <v>3</v>
      </c>
      <c r="N60" s="5" t="str">
        <f t="shared" si="21"/>
        <v/>
      </c>
      <c r="O60" s="15">
        <v>45606</v>
      </c>
      <c r="P60" s="3" t="s">
        <v>38</v>
      </c>
      <c r="Q60" s="3" t="s">
        <v>113</v>
      </c>
    </row>
    <row r="61" spans="1:21" x14ac:dyDescent="0.2">
      <c r="A61" s="16">
        <v>59</v>
      </c>
      <c r="B61" s="16"/>
      <c r="C61" s="9" t="s">
        <v>135</v>
      </c>
      <c r="D61" s="9"/>
      <c r="E61" s="9" t="s">
        <v>110</v>
      </c>
      <c r="F61" s="9"/>
      <c r="G61" s="9"/>
      <c r="H61" s="9" t="s">
        <v>136</v>
      </c>
      <c r="I61" s="9" t="s">
        <v>110</v>
      </c>
      <c r="J61" s="12">
        <f t="shared" ca="1" si="18"/>
        <v>629</v>
      </c>
      <c r="K61" s="8" t="s">
        <v>94</v>
      </c>
      <c r="L61" s="14">
        <f t="shared" ca="1" si="19"/>
        <v>20</v>
      </c>
      <c r="M61" s="14">
        <f t="shared" ca="1" si="20"/>
        <v>29</v>
      </c>
      <c r="N61" s="5" t="str">
        <f t="shared" si="21"/>
        <v/>
      </c>
      <c r="O61" s="15">
        <v>45550</v>
      </c>
      <c r="P61" s="3" t="s">
        <v>38</v>
      </c>
      <c r="Q61" s="3" t="s">
        <v>113</v>
      </c>
    </row>
    <row r="62" spans="1:21" x14ac:dyDescent="0.2">
      <c r="A62" s="16">
        <v>60</v>
      </c>
      <c r="B62" s="16"/>
      <c r="C62" s="9" t="s">
        <v>137</v>
      </c>
      <c r="D62" s="9"/>
      <c r="E62" s="23" t="s">
        <v>110</v>
      </c>
      <c r="F62" s="23"/>
      <c r="G62" s="23"/>
      <c r="H62" s="9" t="s">
        <v>138</v>
      </c>
      <c r="I62" s="9" t="s">
        <v>110</v>
      </c>
      <c r="J62" s="12">
        <f t="shared" ca="1" si="18"/>
        <v>699</v>
      </c>
      <c r="K62" s="8" t="s">
        <v>139</v>
      </c>
      <c r="L62" s="14">
        <f t="shared" ca="1" si="19"/>
        <v>23</v>
      </c>
      <c r="M62" s="14">
        <f t="shared" ca="1" si="20"/>
        <v>9</v>
      </c>
      <c r="N62" s="5" t="str">
        <f t="shared" si="21"/>
        <v/>
      </c>
      <c r="O62" s="15">
        <v>45480</v>
      </c>
      <c r="P62" s="3" t="s">
        <v>113</v>
      </c>
    </row>
    <row r="63" spans="1:21" x14ac:dyDescent="0.2">
      <c r="N63" s="5" t="str">
        <f t="shared" si="21"/>
        <v/>
      </c>
    </row>
    <row r="64" spans="1:21" x14ac:dyDescent="0.2">
      <c r="N64" s="5" t="str">
        <f t="shared" si="21"/>
        <v/>
      </c>
    </row>
    <row r="65" spans="14:14" x14ac:dyDescent="0.2">
      <c r="N65" s="5" t="str">
        <f t="shared" si="21"/>
        <v/>
      </c>
    </row>
    <row r="66" spans="14:14" x14ac:dyDescent="0.2">
      <c r="N66" s="5" t="str">
        <f t="shared" si="21"/>
        <v/>
      </c>
    </row>
    <row r="67" spans="14:14" x14ac:dyDescent="0.2">
      <c r="N67" s="5" t="str">
        <f t="shared" si="21"/>
        <v/>
      </c>
    </row>
    <row r="68" spans="14:14" x14ac:dyDescent="0.2">
      <c r="N68" s="5" t="str">
        <f t="shared" si="21"/>
        <v/>
      </c>
    </row>
    <row r="69" spans="14:14" x14ac:dyDescent="0.2">
      <c r="N69" s="5" t="str">
        <f t="shared" si="21"/>
        <v/>
      </c>
    </row>
    <row r="70" spans="14:14" x14ac:dyDescent="0.2">
      <c r="N70" s="5" t="str">
        <f t="shared" si="21"/>
        <v/>
      </c>
    </row>
    <row r="71" spans="14:14" x14ac:dyDescent="0.2">
      <c r="N71" s="5" t="str">
        <f t="shared" ref="N71:N95" si="22">IF(I71="No Pay","",IF(I71="Paused","",IF(L71="","",IF((COUNTIF(P71:AA71,"Yes"))-(COUNTIF(P71:AA71,"Pause"))&lt;L71+1,"Alert",""))))</f>
        <v/>
      </c>
    </row>
    <row r="72" spans="14:14" x14ac:dyDescent="0.2">
      <c r="N72" s="5" t="str">
        <f t="shared" si="22"/>
        <v/>
      </c>
    </row>
    <row r="73" spans="14:14" x14ac:dyDescent="0.2">
      <c r="N73" s="5" t="str">
        <f t="shared" si="22"/>
        <v/>
      </c>
    </row>
    <row r="74" spans="14:14" x14ac:dyDescent="0.2">
      <c r="N74" s="5" t="str">
        <f t="shared" si="22"/>
        <v/>
      </c>
    </row>
    <row r="75" spans="14:14" x14ac:dyDescent="0.2">
      <c r="N75" s="5" t="str">
        <f t="shared" si="22"/>
        <v/>
      </c>
    </row>
    <row r="76" spans="14:14" x14ac:dyDescent="0.2">
      <c r="N76" s="5" t="str">
        <f t="shared" si="22"/>
        <v/>
      </c>
    </row>
    <row r="77" spans="14:14" x14ac:dyDescent="0.2">
      <c r="N77" s="5" t="str">
        <f t="shared" si="22"/>
        <v/>
      </c>
    </row>
    <row r="78" spans="14:14" x14ac:dyDescent="0.2">
      <c r="N78" s="5" t="str">
        <f t="shared" si="22"/>
        <v/>
      </c>
    </row>
    <row r="79" spans="14:14" x14ac:dyDescent="0.2">
      <c r="N79" s="5" t="str">
        <f t="shared" si="22"/>
        <v/>
      </c>
    </row>
    <row r="80" spans="14:14" x14ac:dyDescent="0.2">
      <c r="N80" s="5" t="str">
        <f t="shared" si="22"/>
        <v/>
      </c>
    </row>
    <row r="81" spans="14:14" x14ac:dyDescent="0.2">
      <c r="N81" s="5" t="str">
        <f t="shared" si="22"/>
        <v/>
      </c>
    </row>
    <row r="82" spans="14:14" x14ac:dyDescent="0.2">
      <c r="N82" s="5" t="str">
        <f t="shared" si="22"/>
        <v/>
      </c>
    </row>
    <row r="83" spans="14:14" x14ac:dyDescent="0.2">
      <c r="N83" s="5" t="str">
        <f t="shared" si="22"/>
        <v/>
      </c>
    </row>
    <row r="84" spans="14:14" x14ac:dyDescent="0.2">
      <c r="N84" s="5" t="str">
        <f t="shared" si="22"/>
        <v/>
      </c>
    </row>
    <row r="85" spans="14:14" x14ac:dyDescent="0.2">
      <c r="N85" s="5" t="str">
        <f t="shared" si="22"/>
        <v/>
      </c>
    </row>
    <row r="86" spans="14:14" x14ac:dyDescent="0.2">
      <c r="N86" s="5" t="str">
        <f t="shared" si="22"/>
        <v/>
      </c>
    </row>
    <row r="87" spans="14:14" x14ac:dyDescent="0.2">
      <c r="N87" s="5" t="str">
        <f t="shared" si="22"/>
        <v/>
      </c>
    </row>
    <row r="88" spans="14:14" x14ac:dyDescent="0.2">
      <c r="N88" s="5" t="str">
        <f t="shared" si="22"/>
        <v/>
      </c>
    </row>
    <row r="89" spans="14:14" x14ac:dyDescent="0.2">
      <c r="N89" s="5" t="str">
        <f t="shared" si="22"/>
        <v/>
      </c>
    </row>
    <row r="90" spans="14:14" x14ac:dyDescent="0.2">
      <c r="N90" s="5" t="str">
        <f t="shared" si="22"/>
        <v/>
      </c>
    </row>
    <row r="91" spans="14:14" x14ac:dyDescent="0.2">
      <c r="N91" s="5" t="str">
        <f t="shared" si="22"/>
        <v/>
      </c>
    </row>
    <row r="92" spans="14:14" x14ac:dyDescent="0.2">
      <c r="N92" s="5" t="str">
        <f t="shared" si="22"/>
        <v/>
      </c>
    </row>
    <row r="93" spans="14:14" x14ac:dyDescent="0.2">
      <c r="N93" s="5" t="str">
        <f t="shared" si="22"/>
        <v/>
      </c>
    </row>
    <row r="94" spans="14:14" x14ac:dyDescent="0.2">
      <c r="N94" s="5" t="str">
        <f t="shared" si="22"/>
        <v/>
      </c>
    </row>
    <row r="95" spans="14:14" x14ac:dyDescent="0.2">
      <c r="N95" s="5" t="str">
        <f t="shared" si="22"/>
        <v/>
      </c>
    </row>
    <row r="96" spans="14:14" x14ac:dyDescent="0.2">
      <c r="N96" s="5" t="str">
        <f t="shared" ref="N96:N113" si="23">IF(I96="Paused","",IF(L96="","",IF((COUNTIF(P96:AA96,"Yes"))-(COUNTIF(P96:AA96,"Pause"))&lt;L96+1,"Alert","")))</f>
        <v/>
      </c>
    </row>
    <row r="97" spans="14:14" x14ac:dyDescent="0.2">
      <c r="N97" s="5" t="str">
        <f t="shared" si="23"/>
        <v/>
      </c>
    </row>
    <row r="98" spans="14:14" x14ac:dyDescent="0.2">
      <c r="N98" s="5" t="str">
        <f t="shared" si="23"/>
        <v/>
      </c>
    </row>
    <row r="99" spans="14:14" x14ac:dyDescent="0.2">
      <c r="N99" s="5" t="str">
        <f t="shared" si="23"/>
        <v/>
      </c>
    </row>
    <row r="100" spans="14:14" x14ac:dyDescent="0.2">
      <c r="N100" s="5" t="str">
        <f t="shared" si="23"/>
        <v/>
      </c>
    </row>
    <row r="101" spans="14:14" x14ac:dyDescent="0.2">
      <c r="N101" s="5" t="str">
        <f t="shared" si="23"/>
        <v/>
      </c>
    </row>
    <row r="102" spans="14:14" x14ac:dyDescent="0.2">
      <c r="N102" s="5" t="str">
        <f t="shared" si="23"/>
        <v/>
      </c>
    </row>
    <row r="103" spans="14:14" x14ac:dyDescent="0.2">
      <c r="N103" s="5" t="str">
        <f t="shared" si="23"/>
        <v/>
      </c>
    </row>
    <row r="104" spans="14:14" x14ac:dyDescent="0.2">
      <c r="N104" s="5" t="str">
        <f t="shared" si="23"/>
        <v/>
      </c>
    </row>
    <row r="105" spans="14:14" x14ac:dyDescent="0.2">
      <c r="N105" s="5" t="str">
        <f t="shared" si="23"/>
        <v/>
      </c>
    </row>
    <row r="106" spans="14:14" x14ac:dyDescent="0.2">
      <c r="N106" s="5" t="str">
        <f t="shared" si="23"/>
        <v/>
      </c>
    </row>
    <row r="107" spans="14:14" x14ac:dyDescent="0.2">
      <c r="N107" s="5" t="str">
        <f t="shared" si="23"/>
        <v/>
      </c>
    </row>
    <row r="108" spans="14:14" x14ac:dyDescent="0.2">
      <c r="N108" s="5" t="str">
        <f t="shared" si="23"/>
        <v/>
      </c>
    </row>
    <row r="109" spans="14:14" x14ac:dyDescent="0.2">
      <c r="N109" s="5" t="str">
        <f t="shared" si="23"/>
        <v/>
      </c>
    </row>
    <row r="110" spans="14:14" x14ac:dyDescent="0.2">
      <c r="N110" s="5" t="str">
        <f t="shared" si="23"/>
        <v/>
      </c>
    </row>
    <row r="111" spans="14:14" x14ac:dyDescent="0.2">
      <c r="N111" s="5" t="str">
        <f t="shared" si="23"/>
        <v/>
      </c>
    </row>
    <row r="112" spans="14:14" x14ac:dyDescent="0.2">
      <c r="N112" s="5" t="str">
        <f t="shared" si="23"/>
        <v/>
      </c>
    </row>
    <row r="113" spans="14:14" x14ac:dyDescent="0.2">
      <c r="N113" s="5" t="str">
        <f t="shared" si="23"/>
        <v/>
      </c>
    </row>
    <row r="114" spans="14:14" x14ac:dyDescent="0.2">
      <c r="N114" s="5" t="str">
        <f t="shared" ref="N114:N151" si="24">IF(I114="Paused","",IF(L114="","",IF((COUNTIF(P114:AA114,"Yes"))-(COUNTIF(P114:AA114,"Pause"))&lt;L114+1,"Alert","")))</f>
        <v/>
      </c>
    </row>
    <row r="115" spans="14:14" x14ac:dyDescent="0.2">
      <c r="N115" s="5" t="str">
        <f t="shared" si="24"/>
        <v/>
      </c>
    </row>
    <row r="116" spans="14:14" x14ac:dyDescent="0.2">
      <c r="N116" s="5" t="str">
        <f t="shared" si="24"/>
        <v/>
      </c>
    </row>
    <row r="117" spans="14:14" x14ac:dyDescent="0.2">
      <c r="N117" s="5" t="str">
        <f t="shared" si="24"/>
        <v/>
      </c>
    </row>
    <row r="118" spans="14:14" x14ac:dyDescent="0.2">
      <c r="N118" s="5" t="str">
        <f t="shared" si="24"/>
        <v/>
      </c>
    </row>
    <row r="119" spans="14:14" x14ac:dyDescent="0.2">
      <c r="N119" s="5" t="str">
        <f t="shared" si="24"/>
        <v/>
      </c>
    </row>
    <row r="120" spans="14:14" x14ac:dyDescent="0.2">
      <c r="N120" s="5" t="str">
        <f t="shared" si="24"/>
        <v/>
      </c>
    </row>
    <row r="121" spans="14:14" x14ac:dyDescent="0.2">
      <c r="N121" s="5" t="str">
        <f t="shared" si="24"/>
        <v/>
      </c>
    </row>
    <row r="122" spans="14:14" x14ac:dyDescent="0.2">
      <c r="N122" s="5" t="str">
        <f t="shared" si="24"/>
        <v/>
      </c>
    </row>
    <row r="123" spans="14:14" x14ac:dyDescent="0.2">
      <c r="N123" s="5" t="str">
        <f t="shared" si="24"/>
        <v/>
      </c>
    </row>
    <row r="124" spans="14:14" x14ac:dyDescent="0.2">
      <c r="N124" s="5" t="str">
        <f t="shared" si="24"/>
        <v/>
      </c>
    </row>
    <row r="125" spans="14:14" x14ac:dyDescent="0.2">
      <c r="N125" s="5" t="str">
        <f t="shared" si="24"/>
        <v/>
      </c>
    </row>
    <row r="126" spans="14:14" x14ac:dyDescent="0.2">
      <c r="N126" s="5" t="str">
        <f t="shared" si="24"/>
        <v/>
      </c>
    </row>
    <row r="127" spans="14:14" x14ac:dyDescent="0.2">
      <c r="N127" s="5" t="str">
        <f t="shared" si="24"/>
        <v/>
      </c>
    </row>
    <row r="128" spans="14:14" x14ac:dyDescent="0.2">
      <c r="N128" s="5" t="str">
        <f t="shared" si="24"/>
        <v/>
      </c>
    </row>
    <row r="129" spans="14:14" x14ac:dyDescent="0.2">
      <c r="N129" s="5" t="str">
        <f t="shared" si="24"/>
        <v/>
      </c>
    </row>
    <row r="130" spans="14:14" x14ac:dyDescent="0.2">
      <c r="N130" s="5" t="str">
        <f t="shared" si="24"/>
        <v/>
      </c>
    </row>
    <row r="131" spans="14:14" x14ac:dyDescent="0.2">
      <c r="N131" s="5" t="str">
        <f t="shared" si="24"/>
        <v/>
      </c>
    </row>
    <row r="132" spans="14:14" x14ac:dyDescent="0.2">
      <c r="N132" s="5" t="str">
        <f t="shared" si="24"/>
        <v/>
      </c>
    </row>
    <row r="133" spans="14:14" x14ac:dyDescent="0.2">
      <c r="N133" s="5" t="str">
        <f t="shared" si="24"/>
        <v/>
      </c>
    </row>
    <row r="134" spans="14:14" x14ac:dyDescent="0.2">
      <c r="N134" s="5" t="str">
        <f t="shared" si="24"/>
        <v/>
      </c>
    </row>
    <row r="135" spans="14:14" x14ac:dyDescent="0.2">
      <c r="N135" s="5" t="str">
        <f t="shared" si="24"/>
        <v/>
      </c>
    </row>
    <row r="136" spans="14:14" x14ac:dyDescent="0.2">
      <c r="N136" s="5" t="str">
        <f t="shared" si="24"/>
        <v/>
      </c>
    </row>
    <row r="137" spans="14:14" x14ac:dyDescent="0.2">
      <c r="N137" s="5" t="str">
        <f t="shared" si="24"/>
        <v/>
      </c>
    </row>
    <row r="138" spans="14:14" x14ac:dyDescent="0.2">
      <c r="N138" s="5" t="str">
        <f t="shared" si="24"/>
        <v/>
      </c>
    </row>
    <row r="139" spans="14:14" x14ac:dyDescent="0.2">
      <c r="N139" s="5" t="str">
        <f t="shared" si="24"/>
        <v/>
      </c>
    </row>
    <row r="140" spans="14:14" x14ac:dyDescent="0.2">
      <c r="N140" s="5" t="str">
        <f t="shared" si="24"/>
        <v/>
      </c>
    </row>
    <row r="141" spans="14:14" x14ac:dyDescent="0.2">
      <c r="N141" s="5" t="str">
        <f t="shared" si="24"/>
        <v/>
      </c>
    </row>
    <row r="142" spans="14:14" x14ac:dyDescent="0.2">
      <c r="N142" s="5" t="str">
        <f t="shared" si="24"/>
        <v/>
      </c>
    </row>
    <row r="143" spans="14:14" x14ac:dyDescent="0.2">
      <c r="N143" s="5" t="str">
        <f t="shared" si="24"/>
        <v/>
      </c>
    </row>
    <row r="144" spans="14:14" x14ac:dyDescent="0.2">
      <c r="N144" s="5" t="str">
        <f t="shared" si="24"/>
        <v/>
      </c>
    </row>
    <row r="145" spans="14:14" x14ac:dyDescent="0.2">
      <c r="N145" s="5" t="str">
        <f t="shared" si="24"/>
        <v/>
      </c>
    </row>
    <row r="146" spans="14:14" x14ac:dyDescent="0.2">
      <c r="N146" s="5" t="str">
        <f t="shared" si="24"/>
        <v/>
      </c>
    </row>
    <row r="147" spans="14:14" x14ac:dyDescent="0.2">
      <c r="N147" s="5" t="str">
        <f t="shared" si="24"/>
        <v/>
      </c>
    </row>
    <row r="148" spans="14:14" x14ac:dyDescent="0.2">
      <c r="N148" s="5" t="str">
        <f t="shared" si="24"/>
        <v/>
      </c>
    </row>
    <row r="149" spans="14:14" x14ac:dyDescent="0.2">
      <c r="N149" s="5" t="str">
        <f t="shared" si="24"/>
        <v/>
      </c>
    </row>
    <row r="150" spans="14:14" x14ac:dyDescent="0.2">
      <c r="N150" s="5" t="str">
        <f t="shared" si="24"/>
        <v/>
      </c>
    </row>
    <row r="151" spans="14:14" x14ac:dyDescent="0.2">
      <c r="N151" s="5" t="str">
        <f t="shared" si="24"/>
        <v/>
      </c>
    </row>
  </sheetData>
  <autoFilter ref="A2:U113" xr:uid="{00000000-0001-0000-0000-000000000000}"/>
  <phoneticPr fontId="9" type="noConversion"/>
  <conditionalFormatting sqref="A2:AA523">
    <cfRule type="notContainsBlanks" dxfId="15" priority="11">
      <formula>LEN(TRIM(A2))&gt;0</formula>
    </cfRule>
  </conditionalFormatting>
  <conditionalFormatting sqref="C3:G523">
    <cfRule type="expression" dxfId="14" priority="1">
      <formula>($E3="New")</formula>
    </cfRule>
    <cfRule type="expression" dxfId="13" priority="7">
      <formula>COUNTIF($P3:$U3,"Pause")&gt;0</formula>
    </cfRule>
  </conditionalFormatting>
  <conditionalFormatting sqref="J3:J1048576">
    <cfRule type="colorScale" priority="18">
      <colorScale>
        <cfvo type="min"/>
        <cfvo type="percentile" val="50"/>
        <cfvo type="max"/>
        <color rgb="FFF8696B"/>
        <color rgb="FFFFEB84"/>
        <color rgb="FF63BE7B"/>
      </colorScale>
    </cfRule>
  </conditionalFormatting>
  <conditionalFormatting sqref="M26:M32 M34:M39 M41:M47 M49:M50 M56:M58 M61:M62">
    <cfRule type="expression" dxfId="12" priority="10">
      <formula>AND(($M26&gt;6),($N26="Alert"))</formula>
    </cfRule>
  </conditionalFormatting>
  <conditionalFormatting sqref="P3:AD162">
    <cfRule type="containsText" dxfId="11" priority="6" operator="containsText" text="Pause">
      <formula>NOT(ISERROR(SEARCH("Pause",P3)))</formula>
    </cfRule>
  </conditionalFormatting>
  <hyperlinks>
    <hyperlink ref="N1" location="'Alert List'!A1" display="'Alert List'!A1" xr:uid="{08F1DF69-FBA2-45C1-8C56-9DCEF3F6F0D3}"/>
    <hyperlink ref="H18" r:id="rId1" xr:uid="{FC0A31BE-58D8-485D-ABA6-7DC994E10250}"/>
    <hyperlink ref="H30" r:id="rId2" xr:uid="{F4531C8B-6A2D-4BA0-A113-B9E11496360C}"/>
    <hyperlink ref="H12" r:id="rId3" xr:uid="{1226455B-1B92-4405-ADE5-29664014A4C3}"/>
    <hyperlink ref="H45" r:id="rId4" xr:uid="{D6C1D65E-2904-45BE-8475-ED3F0BABF336}"/>
    <hyperlink ref="H46" r:id="rId5" xr:uid="{26D8DF23-F7B3-4CC8-9484-9513B0DF4691}"/>
    <hyperlink ref="H37" r:id="rId6" xr:uid="{0CAD9FD1-26B4-465A-9E52-6AC87EEA07B2}"/>
    <hyperlink ref="H25" r:id="rId7" xr:uid="{F060F660-6BF0-4BDC-A0EE-2215A0533C2F}"/>
    <hyperlink ref="H40" r:id="rId8" xr:uid="{37B46557-4EBA-4D12-95AA-AD456B7F1472}"/>
    <hyperlink ref="H42" r:id="rId9" xr:uid="{B6E14247-5407-D84A-A34B-38C4D9983A97}"/>
    <hyperlink ref="H29" r:id="rId10" xr:uid="{9F528514-06D8-E447-982A-E92AA56C2F0E}"/>
    <hyperlink ref="H36" r:id="rId11" xr:uid="{A41FD52A-475F-417F-9122-A1D4C5F5BA62}"/>
    <hyperlink ref="H24" r:id="rId12" xr:uid="{402177DC-C377-4D6D-BBC1-8BA9B5BB7DC0}"/>
  </hyperlinks>
  <pageMargins left="0.25" right="0.25" top="0.75" bottom="0.75" header="0.3" footer="0.3"/>
  <pageSetup paperSize="11" scale="16" orientation="landscape" r:id="rId13"/>
  <drawing r:id="rId14"/>
  <legacy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7EE7-907B-4477-AFD1-95FB68E7F45A}">
  <dimension ref="A1:J75"/>
  <sheetViews>
    <sheetView zoomScaleNormal="100" workbookViewId="0">
      <pane xSplit="5" ySplit="2" topLeftCell="F53" activePane="bottomRight" state="frozen"/>
      <selection pane="topRight" activeCell="D1" sqref="D1"/>
      <selection pane="bottomLeft" activeCell="A3" sqref="A3"/>
      <selection pane="bottomRight" activeCell="A77" sqref="A77"/>
    </sheetView>
  </sheetViews>
  <sheetFormatPr baseColWidth="10" defaultColWidth="8.83203125" defaultRowHeight="15" x14ac:dyDescent="0.2"/>
  <cols>
    <col min="1" max="1" width="19.6640625" bestFit="1" customWidth="1"/>
    <col min="2" max="2" width="12.33203125" customWidth="1"/>
    <col min="3" max="3" width="14" bestFit="1" customWidth="1"/>
    <col min="4" max="4" width="11.83203125" customWidth="1"/>
    <col min="5" max="5" width="13.83203125" bestFit="1" customWidth="1"/>
    <col min="6" max="6" width="15.6640625" bestFit="1" customWidth="1"/>
    <col min="7" max="7" width="23.83203125" bestFit="1" customWidth="1"/>
    <col min="8" max="8" width="10.1640625" bestFit="1" customWidth="1"/>
    <col min="9" max="9" width="24.6640625" bestFit="1" customWidth="1"/>
    <col min="10" max="10" width="6.33203125" bestFit="1" customWidth="1"/>
  </cols>
  <sheetData>
    <row r="1" spans="1:10" ht="24" x14ac:dyDescent="0.3">
      <c r="A1" s="120">
        <f>_xlfn.AGGREGATE(3,3,A3:A503)</f>
        <v>73</v>
      </c>
      <c r="B1" s="120" t="str">
        <f>"Live : "&amp;COUNTIF(C3:C503,"Existing")</f>
        <v>Live : 15</v>
      </c>
      <c r="C1" t="str">
        <f>"Should Call : "&amp;COUNTIF(C3:C503,"Yes")</f>
        <v>Should Call : 40</v>
      </c>
      <c r="D1" t="str">
        <f>"Must Call :"&amp;COUNTIF(D3:D503,"Yes")</f>
        <v>Must Call :23</v>
      </c>
      <c r="H1" t="str">
        <f>"Yes :"&amp;COUNTIF(H3:H501,"Yes")&amp;" No:"&amp;(COUNTIF(H3:H501,"No"))</f>
        <v>Yes :11 No:2</v>
      </c>
    </row>
    <row r="2" spans="1:10" s="103" customFormat="1" ht="27.5" customHeight="1" x14ac:dyDescent="0.2">
      <c r="A2" s="121" t="s">
        <v>2</v>
      </c>
      <c r="B2" s="121" t="s">
        <v>355</v>
      </c>
      <c r="C2" s="122" t="s">
        <v>341</v>
      </c>
      <c r="D2" s="122" t="s">
        <v>358</v>
      </c>
      <c r="E2" s="122" t="s">
        <v>337</v>
      </c>
      <c r="F2" s="122" t="s">
        <v>338</v>
      </c>
      <c r="G2" s="122" t="s">
        <v>339</v>
      </c>
      <c r="H2" s="122" t="s">
        <v>361</v>
      </c>
      <c r="I2" s="122" t="s">
        <v>360</v>
      </c>
      <c r="J2" s="122" t="s">
        <v>340</v>
      </c>
    </row>
    <row r="3" spans="1:10" x14ac:dyDescent="0.2">
      <c r="A3" s="124" t="s">
        <v>262</v>
      </c>
      <c r="B3" s="119"/>
      <c r="C3" s="119" t="s">
        <v>38</v>
      </c>
      <c r="D3" s="119" t="s">
        <v>38</v>
      </c>
      <c r="E3" s="119" t="s">
        <v>344</v>
      </c>
      <c r="F3" s="119"/>
      <c r="G3" s="119"/>
      <c r="H3" s="119" t="s">
        <v>35</v>
      </c>
      <c r="I3" s="119" t="s">
        <v>362</v>
      </c>
      <c r="J3" s="119"/>
    </row>
    <row r="4" spans="1:10" x14ac:dyDescent="0.2">
      <c r="A4" s="124" t="s">
        <v>187</v>
      </c>
      <c r="B4" s="119"/>
      <c r="C4" s="119" t="s">
        <v>38</v>
      </c>
      <c r="D4" s="119" t="s">
        <v>38</v>
      </c>
      <c r="E4" s="119" t="s">
        <v>343</v>
      </c>
      <c r="F4" s="119"/>
      <c r="G4" s="119"/>
      <c r="H4" s="119" t="s">
        <v>35</v>
      </c>
      <c r="I4" s="119" t="s">
        <v>368</v>
      </c>
      <c r="J4" s="119"/>
    </row>
    <row r="5" spans="1:10" x14ac:dyDescent="0.2">
      <c r="A5" s="124" t="s">
        <v>65</v>
      </c>
      <c r="B5" s="119"/>
      <c r="C5" s="119" t="s">
        <v>38</v>
      </c>
      <c r="D5" s="119" t="s">
        <v>38</v>
      </c>
      <c r="E5" s="119" t="s">
        <v>344</v>
      </c>
      <c r="F5" s="119"/>
      <c r="G5" s="119"/>
      <c r="H5" s="119" t="s">
        <v>38</v>
      </c>
      <c r="I5" s="119" t="s">
        <v>365</v>
      </c>
      <c r="J5" s="119"/>
    </row>
    <row r="6" spans="1:10" x14ac:dyDescent="0.2">
      <c r="A6" s="124" t="s">
        <v>78</v>
      </c>
      <c r="B6" s="119"/>
      <c r="C6" s="119" t="s">
        <v>38</v>
      </c>
      <c r="D6" s="119" t="s">
        <v>38</v>
      </c>
      <c r="E6" s="119" t="s">
        <v>344</v>
      </c>
      <c r="F6" s="119"/>
      <c r="G6" s="119"/>
      <c r="H6" s="119" t="s">
        <v>38</v>
      </c>
      <c r="I6" s="119" t="s">
        <v>365</v>
      </c>
      <c r="J6" s="119"/>
    </row>
    <row r="7" spans="1:10" x14ac:dyDescent="0.2">
      <c r="A7" s="124" t="s">
        <v>84</v>
      </c>
      <c r="B7" s="119"/>
      <c r="C7" s="119" t="s">
        <v>38</v>
      </c>
      <c r="D7" s="119" t="s">
        <v>38</v>
      </c>
      <c r="E7" s="119" t="s">
        <v>344</v>
      </c>
      <c r="F7" s="119"/>
      <c r="G7" s="119"/>
      <c r="H7" s="119" t="s">
        <v>38</v>
      </c>
      <c r="I7" s="119" t="s">
        <v>370</v>
      </c>
      <c r="J7" s="119"/>
    </row>
    <row r="8" spans="1:10" x14ac:dyDescent="0.2">
      <c r="A8" s="125" t="s">
        <v>349</v>
      </c>
      <c r="B8" s="119" t="s">
        <v>35</v>
      </c>
      <c r="C8" s="119" t="s">
        <v>38</v>
      </c>
      <c r="D8" s="119" t="s">
        <v>38</v>
      </c>
      <c r="E8" s="119" t="s">
        <v>344</v>
      </c>
      <c r="F8" s="119"/>
      <c r="G8" s="119"/>
      <c r="H8" s="119" t="s">
        <v>38</v>
      </c>
      <c r="I8" s="119" t="s">
        <v>369</v>
      </c>
      <c r="J8" s="119"/>
    </row>
    <row r="9" spans="1:10" x14ac:dyDescent="0.2">
      <c r="A9" s="124" t="s">
        <v>350</v>
      </c>
      <c r="B9" s="119" t="s">
        <v>35</v>
      </c>
      <c r="C9" s="119" t="s">
        <v>38</v>
      </c>
      <c r="D9" s="119" t="s">
        <v>38</v>
      </c>
      <c r="E9" s="119" t="s">
        <v>344</v>
      </c>
      <c r="F9" s="119"/>
      <c r="G9" s="119"/>
      <c r="H9" s="119" t="s">
        <v>38</v>
      </c>
      <c r="I9" s="119" t="s">
        <v>367</v>
      </c>
      <c r="J9" s="119"/>
    </row>
    <row r="10" spans="1:10" x14ac:dyDescent="0.2">
      <c r="A10" s="124" t="s">
        <v>351</v>
      </c>
      <c r="B10" s="119" t="s">
        <v>35</v>
      </c>
      <c r="C10" s="119" t="s">
        <v>38</v>
      </c>
      <c r="D10" s="119" t="s">
        <v>38</v>
      </c>
      <c r="E10" s="119" t="s">
        <v>344</v>
      </c>
      <c r="F10" s="119"/>
      <c r="G10" s="119"/>
      <c r="H10" s="119" t="s">
        <v>38</v>
      </c>
      <c r="I10" s="119" t="s">
        <v>365</v>
      </c>
      <c r="J10" s="119"/>
    </row>
    <row r="11" spans="1:10" x14ac:dyDescent="0.2">
      <c r="A11" s="125" t="s">
        <v>372</v>
      </c>
      <c r="B11" s="119" t="s">
        <v>35</v>
      </c>
      <c r="C11" s="119" t="s">
        <v>38</v>
      </c>
      <c r="D11" s="119" t="s">
        <v>38</v>
      </c>
      <c r="E11" s="119" t="s">
        <v>345</v>
      </c>
      <c r="F11" s="119"/>
      <c r="G11" s="119"/>
      <c r="H11" s="119" t="s">
        <v>38</v>
      </c>
      <c r="I11" s="119" t="s">
        <v>373</v>
      </c>
      <c r="J11" s="119"/>
    </row>
    <row r="12" spans="1:10" x14ac:dyDescent="0.2">
      <c r="A12" s="124" t="s">
        <v>57</v>
      </c>
      <c r="B12" s="119"/>
      <c r="C12" s="119" t="s">
        <v>38</v>
      </c>
      <c r="D12" s="119" t="s">
        <v>38</v>
      </c>
      <c r="E12" s="119" t="s">
        <v>343</v>
      </c>
      <c r="F12" s="119"/>
      <c r="G12" s="119"/>
      <c r="H12" s="119" t="s">
        <v>38</v>
      </c>
      <c r="I12" s="119" t="s">
        <v>366</v>
      </c>
      <c r="J12" s="119"/>
    </row>
    <row r="13" spans="1:10" x14ac:dyDescent="0.2">
      <c r="A13" s="124" t="s">
        <v>119</v>
      </c>
      <c r="B13" s="119"/>
      <c r="C13" s="119" t="s">
        <v>38</v>
      </c>
      <c r="D13" s="119" t="s">
        <v>38</v>
      </c>
      <c r="E13" s="119" t="s">
        <v>344</v>
      </c>
      <c r="F13" s="119"/>
      <c r="G13" s="119"/>
      <c r="H13" s="119" t="s">
        <v>38</v>
      </c>
      <c r="I13" s="119" t="s">
        <v>365</v>
      </c>
      <c r="J13" s="119"/>
    </row>
    <row r="14" spans="1:10" x14ac:dyDescent="0.2">
      <c r="A14" s="124" t="s">
        <v>63</v>
      </c>
      <c r="B14" s="119"/>
      <c r="C14" s="119" t="s">
        <v>38</v>
      </c>
      <c r="D14" s="119" t="s">
        <v>38</v>
      </c>
      <c r="E14" s="119" t="s">
        <v>345</v>
      </c>
      <c r="F14" s="119"/>
      <c r="G14" s="119"/>
      <c r="H14" s="119" t="s">
        <v>38</v>
      </c>
      <c r="I14" s="119" t="s">
        <v>365</v>
      </c>
      <c r="J14" s="119"/>
    </row>
    <row r="15" spans="1:10" x14ac:dyDescent="0.2">
      <c r="A15" s="126" t="s">
        <v>95</v>
      </c>
      <c r="B15" s="119"/>
      <c r="C15" s="119" t="s">
        <v>38</v>
      </c>
      <c r="D15" s="119" t="s">
        <v>38</v>
      </c>
      <c r="E15" s="119" t="s">
        <v>345</v>
      </c>
      <c r="F15" s="119"/>
      <c r="G15" s="119"/>
      <c r="H15" s="119"/>
      <c r="I15" s="119"/>
      <c r="J15" s="119"/>
    </row>
    <row r="16" spans="1:10" x14ac:dyDescent="0.2">
      <c r="A16" s="126" t="s">
        <v>123</v>
      </c>
      <c r="B16" s="119"/>
      <c r="C16" s="119" t="s">
        <v>38</v>
      </c>
      <c r="D16" s="119" t="s">
        <v>38</v>
      </c>
      <c r="E16" s="119" t="s">
        <v>345</v>
      </c>
      <c r="F16" s="119"/>
      <c r="G16" s="119"/>
      <c r="H16" s="119"/>
      <c r="I16" s="119"/>
      <c r="J16" s="119"/>
    </row>
    <row r="17" spans="1:10" x14ac:dyDescent="0.2">
      <c r="A17" s="126" t="s">
        <v>32</v>
      </c>
      <c r="B17" s="119"/>
      <c r="C17" s="119" t="s">
        <v>38</v>
      </c>
      <c r="D17" s="119" t="s">
        <v>38</v>
      </c>
      <c r="E17" s="119" t="s">
        <v>346</v>
      </c>
      <c r="F17" s="119"/>
      <c r="G17" s="119"/>
      <c r="H17" s="119"/>
      <c r="I17" s="119"/>
      <c r="J17" s="119"/>
    </row>
    <row r="18" spans="1:10" x14ac:dyDescent="0.2">
      <c r="A18" s="126" t="s">
        <v>178</v>
      </c>
      <c r="B18" s="119"/>
      <c r="C18" s="119" t="s">
        <v>38</v>
      </c>
      <c r="D18" s="119" t="s">
        <v>38</v>
      </c>
      <c r="E18" s="119" t="s">
        <v>50</v>
      </c>
      <c r="F18" s="119"/>
      <c r="G18" s="119"/>
      <c r="H18" s="119"/>
      <c r="I18" s="119"/>
      <c r="J18" s="119"/>
    </row>
    <row r="19" spans="1:10" x14ac:dyDescent="0.2">
      <c r="A19" s="126" t="s">
        <v>305</v>
      </c>
      <c r="B19" s="119"/>
      <c r="C19" s="119" t="s">
        <v>38</v>
      </c>
      <c r="D19" s="119" t="s">
        <v>38</v>
      </c>
      <c r="E19" s="119" t="s">
        <v>344</v>
      </c>
      <c r="F19" s="119"/>
      <c r="G19" s="119"/>
      <c r="H19" s="119"/>
      <c r="I19" s="119"/>
      <c r="J19" s="119"/>
    </row>
    <row r="20" spans="1:10" x14ac:dyDescent="0.2">
      <c r="A20" s="126" t="s">
        <v>74</v>
      </c>
      <c r="B20" s="119"/>
      <c r="C20" s="119" t="s">
        <v>38</v>
      </c>
      <c r="D20" s="119" t="s">
        <v>38</v>
      </c>
      <c r="E20" s="119" t="s">
        <v>344</v>
      </c>
      <c r="F20" s="119"/>
      <c r="G20" s="119"/>
      <c r="H20" s="119"/>
      <c r="I20" s="119"/>
      <c r="J20" s="119"/>
    </row>
    <row r="21" spans="1:10" x14ac:dyDescent="0.2">
      <c r="A21" s="126" t="s">
        <v>76</v>
      </c>
      <c r="B21" s="119"/>
      <c r="C21" s="119" t="s">
        <v>38</v>
      </c>
      <c r="D21" s="119" t="s">
        <v>38</v>
      </c>
      <c r="E21" s="119" t="s">
        <v>344</v>
      </c>
      <c r="F21" s="119"/>
      <c r="G21" s="119"/>
      <c r="H21" s="119"/>
      <c r="I21" s="119"/>
      <c r="J21" s="119"/>
    </row>
    <row r="22" spans="1:10" x14ac:dyDescent="0.2">
      <c r="A22" s="126" t="s">
        <v>359</v>
      </c>
      <c r="B22" s="119" t="s">
        <v>35</v>
      </c>
      <c r="C22" s="119" t="s">
        <v>38</v>
      </c>
      <c r="D22" s="119" t="s">
        <v>38</v>
      </c>
      <c r="E22" s="119" t="s">
        <v>343</v>
      </c>
      <c r="F22" s="119"/>
      <c r="G22" s="119"/>
      <c r="H22" s="119"/>
      <c r="I22" s="119"/>
      <c r="J22" s="119"/>
    </row>
    <row r="23" spans="1:10" x14ac:dyDescent="0.2">
      <c r="A23" s="126" t="s">
        <v>357</v>
      </c>
      <c r="B23" s="119"/>
      <c r="C23" s="119" t="s">
        <v>38</v>
      </c>
      <c r="D23" s="119" t="s">
        <v>38</v>
      </c>
      <c r="E23" s="119" t="s">
        <v>343</v>
      </c>
      <c r="F23" s="119"/>
      <c r="G23" s="119"/>
      <c r="H23" s="119"/>
      <c r="I23" s="119"/>
      <c r="J23" s="119"/>
    </row>
    <row r="24" spans="1:10" x14ac:dyDescent="0.2">
      <c r="A24" s="126" t="s">
        <v>109</v>
      </c>
      <c r="B24" s="119"/>
      <c r="C24" s="119" t="s">
        <v>38</v>
      </c>
      <c r="D24" s="119" t="s">
        <v>38</v>
      </c>
      <c r="E24" s="119" t="s">
        <v>344</v>
      </c>
      <c r="F24" s="119"/>
      <c r="G24" s="119"/>
      <c r="H24" s="119"/>
      <c r="I24" s="119"/>
      <c r="J24" s="119"/>
    </row>
    <row r="25" spans="1:10" x14ac:dyDescent="0.2">
      <c r="A25" s="126" t="s">
        <v>363</v>
      </c>
      <c r="B25" s="119" t="s">
        <v>35</v>
      </c>
      <c r="C25" s="119" t="s">
        <v>38</v>
      </c>
      <c r="D25" s="119" t="s">
        <v>38</v>
      </c>
      <c r="E25" s="119" t="s">
        <v>344</v>
      </c>
      <c r="F25" s="119"/>
      <c r="G25" s="119"/>
      <c r="H25" s="119"/>
      <c r="I25" s="119"/>
      <c r="J25" s="119"/>
    </row>
    <row r="26" spans="1:10" x14ac:dyDescent="0.2">
      <c r="A26" s="119" t="s">
        <v>59</v>
      </c>
      <c r="B26" s="119"/>
      <c r="C26" s="119" t="s">
        <v>371</v>
      </c>
      <c r="D26" s="119" t="s">
        <v>371</v>
      </c>
      <c r="E26" s="119" t="s">
        <v>345</v>
      </c>
      <c r="F26" s="119"/>
      <c r="G26" s="119"/>
      <c r="H26" s="119" t="s">
        <v>38</v>
      </c>
      <c r="I26" s="119" t="s">
        <v>367</v>
      </c>
      <c r="J26" s="119"/>
    </row>
    <row r="27" spans="1:10" x14ac:dyDescent="0.2">
      <c r="A27" s="119" t="s">
        <v>330</v>
      </c>
      <c r="B27" s="119"/>
      <c r="C27" s="119" t="s">
        <v>371</v>
      </c>
      <c r="D27" s="119" t="s">
        <v>371</v>
      </c>
      <c r="E27" s="119" t="s">
        <v>345</v>
      </c>
      <c r="F27" s="119"/>
      <c r="G27" s="119"/>
      <c r="H27" s="119"/>
      <c r="I27" s="119"/>
      <c r="J27" s="119"/>
    </row>
    <row r="28" spans="1:10" x14ac:dyDescent="0.2">
      <c r="A28" s="119" t="s">
        <v>68</v>
      </c>
      <c r="B28" s="119"/>
      <c r="C28" s="119" t="s">
        <v>371</v>
      </c>
      <c r="D28" s="119" t="s">
        <v>371</v>
      </c>
      <c r="E28" s="119" t="s">
        <v>345</v>
      </c>
      <c r="F28" s="119"/>
      <c r="G28" s="119"/>
      <c r="H28" s="119"/>
      <c r="I28" s="119"/>
      <c r="J28" s="119"/>
    </row>
    <row r="29" spans="1:10" x14ac:dyDescent="0.2">
      <c r="A29" s="119" t="s">
        <v>70</v>
      </c>
      <c r="B29" s="119"/>
      <c r="C29" s="119" t="s">
        <v>371</v>
      </c>
      <c r="D29" s="119" t="s">
        <v>371</v>
      </c>
      <c r="E29" s="119" t="s">
        <v>345</v>
      </c>
      <c r="F29" s="119"/>
      <c r="G29" s="119"/>
      <c r="H29" s="119"/>
      <c r="I29" s="119"/>
      <c r="J29" s="119"/>
    </row>
    <row r="30" spans="1:10" x14ac:dyDescent="0.2">
      <c r="A30" s="119" t="s">
        <v>72</v>
      </c>
      <c r="B30" s="119"/>
      <c r="C30" s="119" t="s">
        <v>371</v>
      </c>
      <c r="D30" s="119" t="s">
        <v>371</v>
      </c>
      <c r="E30" s="119" t="s">
        <v>345</v>
      </c>
      <c r="F30" s="119"/>
      <c r="G30" s="119"/>
      <c r="H30" s="119"/>
      <c r="I30" s="119"/>
      <c r="J30" s="119"/>
    </row>
    <row r="31" spans="1:10" x14ac:dyDescent="0.2">
      <c r="A31" s="119" t="s">
        <v>92</v>
      </c>
      <c r="B31" s="119"/>
      <c r="C31" s="119" t="s">
        <v>371</v>
      </c>
      <c r="D31" s="119" t="s">
        <v>371</v>
      </c>
      <c r="E31" s="119" t="s">
        <v>345</v>
      </c>
      <c r="F31" s="119"/>
      <c r="G31" s="119"/>
      <c r="H31" s="119"/>
      <c r="I31" s="119"/>
      <c r="J31" s="119"/>
    </row>
    <row r="32" spans="1:10" x14ac:dyDescent="0.2">
      <c r="A32" s="119" t="s">
        <v>364</v>
      </c>
      <c r="B32" s="119"/>
      <c r="C32" s="119" t="s">
        <v>371</v>
      </c>
      <c r="D32" s="119" t="s">
        <v>371</v>
      </c>
      <c r="E32" s="119" t="s">
        <v>345</v>
      </c>
      <c r="F32" s="119"/>
      <c r="G32" s="119"/>
      <c r="H32" s="119"/>
      <c r="I32" s="119"/>
      <c r="J32" s="119"/>
    </row>
    <row r="33" spans="1:10" x14ac:dyDescent="0.2">
      <c r="A33" s="119" t="s">
        <v>97</v>
      </c>
      <c r="B33" s="119"/>
      <c r="C33" s="119" t="s">
        <v>371</v>
      </c>
      <c r="D33" s="119" t="s">
        <v>371</v>
      </c>
      <c r="E33" s="119" t="s">
        <v>345</v>
      </c>
      <c r="F33" s="119"/>
      <c r="G33" s="119"/>
      <c r="H33" s="119"/>
      <c r="I33" s="119"/>
      <c r="J33" s="119"/>
    </row>
    <row r="34" spans="1:10" x14ac:dyDescent="0.2">
      <c r="A34" s="119" t="s">
        <v>100</v>
      </c>
      <c r="B34" s="119"/>
      <c r="C34" s="119" t="s">
        <v>371</v>
      </c>
      <c r="D34" s="119" t="s">
        <v>371</v>
      </c>
      <c r="E34" s="119" t="s">
        <v>345</v>
      </c>
      <c r="F34" s="119"/>
      <c r="G34" s="119"/>
      <c r="H34" s="119"/>
      <c r="I34" s="119"/>
      <c r="J34" s="119"/>
    </row>
    <row r="35" spans="1:10" x14ac:dyDescent="0.2">
      <c r="A35" s="119" t="s">
        <v>103</v>
      </c>
      <c r="B35" s="119"/>
      <c r="C35" s="119" t="s">
        <v>371</v>
      </c>
      <c r="D35" s="119" t="s">
        <v>371</v>
      </c>
      <c r="E35" s="119" t="s">
        <v>345</v>
      </c>
      <c r="F35" s="119"/>
      <c r="G35" s="119"/>
      <c r="H35" s="119"/>
      <c r="I35" s="119"/>
      <c r="J35" s="119"/>
    </row>
    <row r="36" spans="1:10" x14ac:dyDescent="0.2">
      <c r="A36" s="119" t="s">
        <v>82</v>
      </c>
      <c r="B36" s="119"/>
      <c r="C36" s="119" t="s">
        <v>371</v>
      </c>
      <c r="D36" s="119" t="s">
        <v>371</v>
      </c>
      <c r="E36" s="119" t="s">
        <v>345</v>
      </c>
      <c r="F36" s="119"/>
      <c r="G36" s="119"/>
      <c r="H36" s="119"/>
      <c r="I36" s="119"/>
      <c r="J36" s="119"/>
    </row>
    <row r="37" spans="1:10" x14ac:dyDescent="0.2">
      <c r="A37" s="119" t="s">
        <v>348</v>
      </c>
      <c r="B37" s="119"/>
      <c r="C37" s="119" t="s">
        <v>371</v>
      </c>
      <c r="D37" s="119" t="s">
        <v>371</v>
      </c>
      <c r="E37" s="119" t="s">
        <v>345</v>
      </c>
      <c r="F37" s="119"/>
      <c r="G37" s="119"/>
      <c r="H37" s="119"/>
      <c r="I37" s="119"/>
      <c r="J37" s="119"/>
    </row>
    <row r="38" spans="1:10" x14ac:dyDescent="0.2">
      <c r="A38" s="119" t="s">
        <v>352</v>
      </c>
      <c r="B38" s="119"/>
      <c r="C38" s="119" t="s">
        <v>371</v>
      </c>
      <c r="D38" s="119" t="s">
        <v>371</v>
      </c>
      <c r="E38" s="119" t="s">
        <v>345</v>
      </c>
      <c r="F38" s="119"/>
      <c r="G38" s="119"/>
      <c r="H38" s="119"/>
      <c r="I38" s="119"/>
      <c r="J38" s="119"/>
    </row>
    <row r="39" spans="1:10" x14ac:dyDescent="0.2">
      <c r="A39" s="119" t="s">
        <v>353</v>
      </c>
      <c r="B39" s="119"/>
      <c r="C39" s="119" t="s">
        <v>371</v>
      </c>
      <c r="D39" s="119" t="s">
        <v>371</v>
      </c>
      <c r="E39" s="119" t="s">
        <v>345</v>
      </c>
      <c r="F39" s="119"/>
      <c r="G39" s="119"/>
      <c r="H39" s="119"/>
      <c r="I39" s="119"/>
      <c r="J39" s="119"/>
    </row>
    <row r="40" spans="1:10" x14ac:dyDescent="0.2">
      <c r="A40" s="119" t="s">
        <v>354</v>
      </c>
      <c r="B40" s="119"/>
      <c r="C40" s="119" t="s">
        <v>371</v>
      </c>
      <c r="D40" s="119" t="s">
        <v>371</v>
      </c>
      <c r="E40" s="119" t="s">
        <v>345</v>
      </c>
      <c r="F40" s="119"/>
      <c r="G40" s="119"/>
      <c r="H40" s="119"/>
      <c r="I40" s="119"/>
      <c r="J40" s="119"/>
    </row>
    <row r="41" spans="1:10" x14ac:dyDescent="0.2">
      <c r="A41" s="119" t="s">
        <v>232</v>
      </c>
      <c r="B41" s="119"/>
      <c r="C41" s="119" t="s">
        <v>38</v>
      </c>
      <c r="D41" s="119"/>
      <c r="E41" s="119" t="s">
        <v>345</v>
      </c>
      <c r="F41" s="119"/>
      <c r="G41" s="119"/>
      <c r="H41" s="119"/>
      <c r="I41" s="119"/>
      <c r="J41" s="119"/>
    </row>
    <row r="42" spans="1:10" x14ac:dyDescent="0.2">
      <c r="A42" s="119" t="s">
        <v>86</v>
      </c>
      <c r="B42" s="119"/>
      <c r="C42" s="119" t="s">
        <v>38</v>
      </c>
      <c r="D42" s="119"/>
      <c r="E42" s="119" t="s">
        <v>345</v>
      </c>
      <c r="F42" s="119"/>
      <c r="G42" s="119"/>
      <c r="H42" s="119"/>
      <c r="I42" s="119"/>
      <c r="J42" s="119"/>
    </row>
    <row r="43" spans="1:10" x14ac:dyDescent="0.2">
      <c r="A43" s="119" t="s">
        <v>303</v>
      </c>
      <c r="B43" s="119"/>
      <c r="C43" s="119" t="s">
        <v>38</v>
      </c>
      <c r="D43" s="119"/>
      <c r="E43" s="119" t="s">
        <v>50</v>
      </c>
      <c r="F43" s="119"/>
      <c r="G43" s="119"/>
      <c r="H43" s="119"/>
      <c r="I43" s="119"/>
      <c r="J43" s="119"/>
    </row>
    <row r="44" spans="1:10" x14ac:dyDescent="0.2">
      <c r="A44" s="119" t="s">
        <v>264</v>
      </c>
      <c r="B44" s="119"/>
      <c r="C44" s="119" t="s">
        <v>38</v>
      </c>
      <c r="D44" s="119"/>
      <c r="E44" s="119" t="s">
        <v>344</v>
      </c>
      <c r="F44" s="119"/>
      <c r="G44" s="119"/>
      <c r="H44" s="119"/>
      <c r="I44" s="119"/>
      <c r="J44" s="119"/>
    </row>
    <row r="45" spans="1:10" x14ac:dyDescent="0.2">
      <c r="A45" s="119" t="s">
        <v>266</v>
      </c>
      <c r="B45" s="119"/>
      <c r="C45" s="119" t="s">
        <v>38</v>
      </c>
      <c r="D45" s="119"/>
      <c r="E45" s="119" t="s">
        <v>344</v>
      </c>
      <c r="F45" s="119"/>
      <c r="G45" s="119"/>
      <c r="H45" s="119"/>
      <c r="I45" s="119"/>
      <c r="J45" s="119"/>
    </row>
    <row r="46" spans="1:10" x14ac:dyDescent="0.2">
      <c r="A46" s="119" t="s">
        <v>184</v>
      </c>
      <c r="B46" s="119"/>
      <c r="C46" s="119" t="s">
        <v>38</v>
      </c>
      <c r="D46" s="119"/>
      <c r="E46" s="119" t="s">
        <v>344</v>
      </c>
      <c r="F46" s="119"/>
      <c r="G46" s="119"/>
      <c r="H46" s="119"/>
      <c r="I46" s="119"/>
      <c r="J46" s="119"/>
    </row>
    <row r="47" spans="1:10" x14ac:dyDescent="0.2">
      <c r="A47" s="119" t="s">
        <v>29</v>
      </c>
      <c r="B47" s="119"/>
      <c r="C47" s="119" t="s">
        <v>38</v>
      </c>
      <c r="D47" s="119"/>
      <c r="E47" s="119" t="s">
        <v>344</v>
      </c>
      <c r="F47" s="119"/>
      <c r="G47" s="119"/>
      <c r="H47" s="119"/>
      <c r="I47" s="119"/>
      <c r="J47" s="119"/>
    </row>
    <row r="48" spans="1:10" x14ac:dyDescent="0.2">
      <c r="A48" s="119" t="s">
        <v>149</v>
      </c>
      <c r="B48" s="119"/>
      <c r="C48" s="119" t="s">
        <v>38</v>
      </c>
      <c r="D48" s="119"/>
      <c r="E48" s="119" t="s">
        <v>344</v>
      </c>
      <c r="F48" s="119"/>
      <c r="G48" s="119"/>
      <c r="H48" s="119"/>
      <c r="I48" s="119"/>
      <c r="J48" s="119"/>
    </row>
    <row r="49" spans="1:10" x14ac:dyDescent="0.2">
      <c r="A49" s="119" t="s">
        <v>47</v>
      </c>
      <c r="B49" s="119"/>
      <c r="C49" s="119" t="s">
        <v>38</v>
      </c>
      <c r="D49" s="119"/>
      <c r="E49" s="119" t="s">
        <v>344</v>
      </c>
      <c r="F49" s="119"/>
      <c r="G49" s="119"/>
      <c r="H49" s="119"/>
      <c r="I49" s="119"/>
      <c r="J49" s="119"/>
    </row>
    <row r="50" spans="1:10" x14ac:dyDescent="0.2">
      <c r="A50" s="119" t="s">
        <v>49</v>
      </c>
      <c r="B50" s="119"/>
      <c r="C50" s="119" t="s">
        <v>38</v>
      </c>
      <c r="D50" s="119"/>
      <c r="E50" s="119" t="s">
        <v>344</v>
      </c>
      <c r="F50" s="119"/>
      <c r="G50" s="119"/>
      <c r="H50" s="119"/>
      <c r="I50" s="119"/>
      <c r="J50" s="119"/>
    </row>
    <row r="51" spans="1:10" x14ac:dyDescent="0.2">
      <c r="A51" s="119" t="s">
        <v>53</v>
      </c>
      <c r="B51" s="119"/>
      <c r="C51" s="119" t="s">
        <v>38</v>
      </c>
      <c r="D51" s="119"/>
      <c r="E51" s="119" t="s">
        <v>344</v>
      </c>
      <c r="F51" s="119"/>
      <c r="G51" s="119"/>
      <c r="H51" s="119"/>
      <c r="I51" s="119"/>
      <c r="J51" s="119"/>
    </row>
    <row r="52" spans="1:10" x14ac:dyDescent="0.2">
      <c r="A52" s="119" t="s">
        <v>55</v>
      </c>
      <c r="B52" s="119"/>
      <c r="C52" s="119" t="s">
        <v>38</v>
      </c>
      <c r="D52" s="119"/>
      <c r="E52" s="119" t="s">
        <v>344</v>
      </c>
      <c r="F52" s="119"/>
      <c r="G52" s="119"/>
      <c r="H52" s="119"/>
      <c r="I52" s="119"/>
      <c r="J52" s="119"/>
    </row>
    <row r="53" spans="1:10" x14ac:dyDescent="0.2">
      <c r="A53" s="119" t="s">
        <v>61</v>
      </c>
      <c r="B53" s="119"/>
      <c r="C53" s="119" t="s">
        <v>38</v>
      </c>
      <c r="D53" s="119"/>
      <c r="E53" s="119" t="s">
        <v>344</v>
      </c>
      <c r="F53" s="119"/>
      <c r="G53" s="119"/>
      <c r="H53" s="119"/>
      <c r="I53" s="119"/>
      <c r="J53" s="119"/>
    </row>
    <row r="54" spans="1:10" x14ac:dyDescent="0.2">
      <c r="A54" s="119" t="s">
        <v>133</v>
      </c>
      <c r="B54" s="119"/>
      <c r="C54" s="119" t="s">
        <v>38</v>
      </c>
      <c r="D54" s="119"/>
      <c r="E54" s="119" t="s">
        <v>344</v>
      </c>
      <c r="F54" s="119"/>
      <c r="G54" s="119"/>
      <c r="H54" s="119"/>
      <c r="I54" s="119"/>
      <c r="J54" s="119"/>
    </row>
    <row r="55" spans="1:10" x14ac:dyDescent="0.2">
      <c r="A55" s="119" t="s">
        <v>135</v>
      </c>
      <c r="B55" s="119"/>
      <c r="C55" s="119" t="s">
        <v>38</v>
      </c>
      <c r="D55" s="119"/>
      <c r="E55" s="119" t="s">
        <v>344</v>
      </c>
      <c r="F55" s="119"/>
      <c r="G55" s="119"/>
      <c r="H55" s="119"/>
      <c r="I55" s="119"/>
      <c r="J55" s="119"/>
    </row>
    <row r="56" spans="1:10" x14ac:dyDescent="0.2">
      <c r="A56" s="119" t="s">
        <v>137</v>
      </c>
      <c r="B56" s="119"/>
      <c r="C56" s="119" t="s">
        <v>38</v>
      </c>
      <c r="D56" s="119"/>
      <c r="E56" s="119" t="s">
        <v>344</v>
      </c>
      <c r="F56" s="119"/>
      <c r="G56" s="119"/>
      <c r="H56" s="119"/>
      <c r="I56" s="119"/>
      <c r="J56" s="119"/>
    </row>
    <row r="57" spans="1:10" x14ac:dyDescent="0.2">
      <c r="A57" s="119" t="s">
        <v>250</v>
      </c>
      <c r="B57" s="119"/>
      <c r="C57" s="119" t="s">
        <v>38</v>
      </c>
      <c r="D57" s="119"/>
      <c r="E57" s="119" t="s">
        <v>342</v>
      </c>
      <c r="F57" s="119"/>
      <c r="G57" s="119"/>
      <c r="H57" s="119"/>
      <c r="I57" s="119"/>
      <c r="J57" s="119"/>
    </row>
    <row r="58" spans="1:10" x14ac:dyDescent="0.2">
      <c r="A58" s="119" t="s">
        <v>215</v>
      </c>
      <c r="B58" s="119"/>
      <c r="C58" s="119" t="s">
        <v>35</v>
      </c>
      <c r="D58" s="119"/>
      <c r="E58" s="119"/>
      <c r="F58" s="119"/>
      <c r="G58" s="119"/>
      <c r="H58" s="119"/>
      <c r="I58" s="119"/>
      <c r="J58" s="119"/>
    </row>
    <row r="59" spans="1:10" x14ac:dyDescent="0.2">
      <c r="A59" s="119" t="s">
        <v>22</v>
      </c>
      <c r="B59" s="119"/>
      <c r="C59" s="119" t="s">
        <v>35</v>
      </c>
      <c r="D59" s="119"/>
      <c r="E59" s="119"/>
      <c r="F59" s="119"/>
      <c r="G59" s="119"/>
      <c r="H59" s="119"/>
      <c r="I59" s="119"/>
      <c r="J59" s="119"/>
    </row>
    <row r="60" spans="1:10" x14ac:dyDescent="0.2">
      <c r="A60" s="119" t="s">
        <v>43</v>
      </c>
      <c r="B60" s="119"/>
      <c r="C60" s="119" t="s">
        <v>35</v>
      </c>
      <c r="D60" s="119"/>
      <c r="E60" s="119"/>
      <c r="F60" s="119"/>
      <c r="G60" s="119"/>
      <c r="H60" s="119"/>
      <c r="I60" s="119"/>
      <c r="J60" s="119"/>
    </row>
    <row r="61" spans="1:10" x14ac:dyDescent="0.2">
      <c r="A61" s="119" t="s">
        <v>45</v>
      </c>
      <c r="B61" s="119"/>
      <c r="C61" s="119" t="s">
        <v>35</v>
      </c>
      <c r="D61" s="119"/>
      <c r="E61" s="119"/>
      <c r="F61" s="119"/>
      <c r="G61" s="119"/>
      <c r="H61" s="119"/>
      <c r="I61" s="119"/>
      <c r="J61" s="119"/>
    </row>
    <row r="62" spans="1:10" x14ac:dyDescent="0.2">
      <c r="A62" s="119" t="s">
        <v>356</v>
      </c>
      <c r="B62" s="119"/>
      <c r="C62" s="119" t="s">
        <v>35</v>
      </c>
      <c r="D62" s="119"/>
      <c r="E62" s="119"/>
      <c r="F62" s="119"/>
      <c r="G62" s="119"/>
      <c r="H62" s="119"/>
      <c r="I62" s="119"/>
      <c r="J62" s="119"/>
    </row>
    <row r="63" spans="1:10" x14ac:dyDescent="0.2">
      <c r="A63" s="119" t="s">
        <v>88</v>
      </c>
      <c r="B63" s="119"/>
      <c r="C63" s="119" t="s">
        <v>35</v>
      </c>
      <c r="D63" s="119"/>
      <c r="E63" s="119"/>
      <c r="F63" s="119"/>
      <c r="G63" s="119"/>
      <c r="H63" s="119"/>
      <c r="I63" s="119"/>
      <c r="J63" s="119"/>
    </row>
    <row r="64" spans="1:10" x14ac:dyDescent="0.2">
      <c r="A64" s="119" t="s">
        <v>117</v>
      </c>
      <c r="B64" s="119"/>
      <c r="C64" s="119" t="s">
        <v>35</v>
      </c>
      <c r="D64" s="119"/>
      <c r="E64" s="119"/>
      <c r="F64" s="119"/>
      <c r="G64" s="119"/>
      <c r="H64" s="119"/>
      <c r="I64" s="119"/>
      <c r="J64" s="119"/>
    </row>
    <row r="65" spans="1:10" x14ac:dyDescent="0.2">
      <c r="A65" s="119" t="s">
        <v>125</v>
      </c>
      <c r="B65" s="119"/>
      <c r="C65" s="119" t="s">
        <v>35</v>
      </c>
      <c r="D65" s="119"/>
      <c r="E65" s="119"/>
      <c r="F65" s="119"/>
      <c r="G65" s="119"/>
      <c r="H65" s="119"/>
      <c r="I65" s="119"/>
      <c r="J65" s="119"/>
    </row>
    <row r="66" spans="1:10" x14ac:dyDescent="0.2">
      <c r="A66" s="119" t="s">
        <v>114</v>
      </c>
      <c r="B66" s="119"/>
      <c r="C66" s="119" t="s">
        <v>35</v>
      </c>
      <c r="D66" s="119"/>
      <c r="E66" s="119"/>
      <c r="F66" s="119"/>
      <c r="G66" s="119"/>
      <c r="H66" s="119"/>
      <c r="I66" s="119"/>
      <c r="J66" s="119"/>
    </row>
    <row r="67" spans="1:10" x14ac:dyDescent="0.2">
      <c r="A67" s="119" t="s">
        <v>80</v>
      </c>
      <c r="B67" s="119"/>
      <c r="C67" s="119" t="s">
        <v>35</v>
      </c>
      <c r="D67" s="119"/>
      <c r="E67" s="119"/>
      <c r="F67" s="119"/>
      <c r="G67" s="119"/>
      <c r="H67" s="119"/>
      <c r="I67" s="119"/>
      <c r="J67" s="119"/>
    </row>
    <row r="68" spans="1:10" x14ac:dyDescent="0.2">
      <c r="A68" s="119" t="s">
        <v>90</v>
      </c>
      <c r="B68" s="119"/>
      <c r="C68" s="119" t="s">
        <v>35</v>
      </c>
      <c r="D68" s="119"/>
      <c r="E68" s="119"/>
      <c r="F68" s="119"/>
      <c r="G68" s="119"/>
      <c r="H68" s="119"/>
      <c r="I68" s="119"/>
      <c r="J68" s="119"/>
    </row>
    <row r="69" spans="1:10" x14ac:dyDescent="0.2">
      <c r="A69" s="119" t="s">
        <v>41</v>
      </c>
      <c r="B69" s="119"/>
      <c r="C69" s="119" t="s">
        <v>35</v>
      </c>
      <c r="D69" s="119"/>
      <c r="E69" s="119"/>
      <c r="F69" s="119"/>
      <c r="G69" s="119"/>
      <c r="H69" s="119"/>
      <c r="I69" s="119"/>
      <c r="J69" s="119"/>
    </row>
    <row r="70" spans="1:10" x14ac:dyDescent="0.2">
      <c r="A70" s="119" t="s">
        <v>34</v>
      </c>
      <c r="B70" s="119"/>
      <c r="C70" s="119" t="s">
        <v>35</v>
      </c>
      <c r="D70" s="119"/>
      <c r="E70" s="119"/>
      <c r="F70" s="119"/>
      <c r="G70" s="119"/>
      <c r="H70" s="119"/>
      <c r="I70" s="119"/>
      <c r="J70" s="119"/>
    </row>
    <row r="71" spans="1:10" x14ac:dyDescent="0.2">
      <c r="A71" s="119" t="s">
        <v>39</v>
      </c>
      <c r="B71" s="119"/>
      <c r="C71" s="119" t="s">
        <v>35</v>
      </c>
      <c r="D71" s="119"/>
      <c r="E71" s="119"/>
      <c r="F71" s="119"/>
      <c r="G71" s="119"/>
      <c r="H71" s="119"/>
      <c r="I71" s="119"/>
      <c r="J71" s="119"/>
    </row>
    <row r="72" spans="1:10" x14ac:dyDescent="0.2">
      <c r="A72" s="119" t="s">
        <v>127</v>
      </c>
      <c r="B72" s="119"/>
      <c r="C72" s="119" t="s">
        <v>35</v>
      </c>
      <c r="D72" s="119"/>
      <c r="E72" s="119"/>
      <c r="F72" s="119"/>
      <c r="G72" s="119"/>
      <c r="H72" s="119"/>
      <c r="I72" s="119"/>
      <c r="J72" s="119"/>
    </row>
    <row r="73" spans="1:10" x14ac:dyDescent="0.2">
      <c r="A73" s="119" t="s">
        <v>129</v>
      </c>
      <c r="B73" s="119"/>
      <c r="C73" s="119" t="s">
        <v>35</v>
      </c>
      <c r="D73" s="119"/>
      <c r="E73" s="119"/>
      <c r="F73" s="119"/>
      <c r="G73" s="119"/>
      <c r="H73" s="119"/>
      <c r="I73" s="119"/>
      <c r="J73" s="119"/>
    </row>
    <row r="74" spans="1:10" x14ac:dyDescent="0.2">
      <c r="A74" s="119" t="s">
        <v>131</v>
      </c>
      <c r="B74" s="119"/>
      <c r="C74" s="119" t="s">
        <v>35</v>
      </c>
      <c r="D74" s="119"/>
      <c r="E74" s="119"/>
      <c r="F74" s="119"/>
      <c r="G74" s="119"/>
      <c r="H74" s="119"/>
      <c r="I74" s="119"/>
      <c r="J74" s="119"/>
    </row>
    <row r="75" spans="1:10" x14ac:dyDescent="0.2">
      <c r="A75" s="119" t="s">
        <v>106</v>
      </c>
      <c r="B75" s="119"/>
      <c r="C75" s="119" t="s">
        <v>35</v>
      </c>
      <c r="D75" s="119"/>
      <c r="E75" s="119"/>
      <c r="F75" s="119"/>
      <c r="G75" s="119"/>
      <c r="H75" s="119"/>
      <c r="I75" s="119"/>
      <c r="J75" s="119"/>
    </row>
  </sheetData>
  <autoFilter ref="A2:J75" xr:uid="{A8097EE7-907B-4477-AFD1-95FB68E7F45A}">
    <sortState xmlns:xlrd2="http://schemas.microsoft.com/office/spreadsheetml/2017/richdata2" ref="A3:J75">
      <sortCondition ref="D3:D75" customList="Yes,Existing"/>
      <sortCondition descending="1" ref="C3:C75"/>
      <sortCondition ref="H3:H75"/>
    </sortState>
  </autoFilter>
  <conditionalFormatting sqref="A2:B2">
    <cfRule type="notContainsBlanks" dxfId="10" priority="3">
      <formula>LEN(TRIM(A2))&gt;0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53CA5-A51E-40D6-92BF-697C8DD192E5}">
  <dimension ref="A1:B36"/>
  <sheetViews>
    <sheetView workbookViewId="0">
      <selection activeCell="I30" sqref="I30"/>
    </sheetView>
  </sheetViews>
  <sheetFormatPr baseColWidth="10" defaultColWidth="8.83203125" defaultRowHeight="15" x14ac:dyDescent="0.2"/>
  <cols>
    <col min="1" max="1" width="22.83203125" bestFit="1" customWidth="1"/>
    <col min="2" max="2" width="18.83203125" bestFit="1" customWidth="1"/>
  </cols>
  <sheetData>
    <row r="1" spans="1:2" x14ac:dyDescent="0.2">
      <c r="A1" s="123" t="s">
        <v>337</v>
      </c>
      <c r="B1" s="123" t="s">
        <v>2</v>
      </c>
    </row>
    <row r="2" spans="1:2" x14ac:dyDescent="0.2">
      <c r="A2" t="s">
        <v>344</v>
      </c>
      <c r="B2" t="s">
        <v>55</v>
      </c>
    </row>
    <row r="3" spans="1:2" x14ac:dyDescent="0.2">
      <c r="B3" t="s">
        <v>59</v>
      </c>
    </row>
    <row r="4" spans="1:2" x14ac:dyDescent="0.2">
      <c r="B4" t="s">
        <v>47</v>
      </c>
    </row>
    <row r="5" spans="1:2" x14ac:dyDescent="0.2">
      <c r="B5" t="s">
        <v>264</v>
      </c>
    </row>
    <row r="6" spans="1:2" x14ac:dyDescent="0.2">
      <c r="B6" t="s">
        <v>78</v>
      </c>
    </row>
    <row r="7" spans="1:2" x14ac:dyDescent="0.2">
      <c r="B7" t="s">
        <v>149</v>
      </c>
    </row>
    <row r="8" spans="1:2" x14ac:dyDescent="0.2">
      <c r="B8" t="s">
        <v>74</v>
      </c>
    </row>
    <row r="9" spans="1:2" x14ac:dyDescent="0.2">
      <c r="B9" t="s">
        <v>49</v>
      </c>
    </row>
    <row r="10" spans="1:2" x14ac:dyDescent="0.2">
      <c r="B10" t="s">
        <v>84</v>
      </c>
    </row>
    <row r="11" spans="1:2" x14ac:dyDescent="0.2">
      <c r="B11" t="s">
        <v>61</v>
      </c>
    </row>
    <row r="12" spans="1:2" x14ac:dyDescent="0.2">
      <c r="B12" t="s">
        <v>29</v>
      </c>
    </row>
    <row r="13" spans="1:2" x14ac:dyDescent="0.2">
      <c r="B13" t="s">
        <v>266</v>
      </c>
    </row>
    <row r="14" spans="1:2" x14ac:dyDescent="0.2">
      <c r="B14" t="s">
        <v>137</v>
      </c>
    </row>
    <row r="15" spans="1:2" x14ac:dyDescent="0.2">
      <c r="B15" t="s">
        <v>76</v>
      </c>
    </row>
    <row r="16" spans="1:2" x14ac:dyDescent="0.2">
      <c r="B16" t="s">
        <v>184</v>
      </c>
    </row>
    <row r="17" spans="1:2" x14ac:dyDescent="0.2">
      <c r="B17" t="s">
        <v>305</v>
      </c>
    </row>
    <row r="18" spans="1:2" x14ac:dyDescent="0.2">
      <c r="B18" t="s">
        <v>119</v>
      </c>
    </row>
    <row r="19" spans="1:2" x14ac:dyDescent="0.2">
      <c r="B19" t="s">
        <v>133</v>
      </c>
    </row>
    <row r="20" spans="1:2" x14ac:dyDescent="0.2">
      <c r="B20" t="s">
        <v>135</v>
      </c>
    </row>
    <row r="21" spans="1:2" x14ac:dyDescent="0.2">
      <c r="B21" t="s">
        <v>65</v>
      </c>
    </row>
    <row r="22" spans="1:2" x14ac:dyDescent="0.2">
      <c r="B22" t="s">
        <v>262</v>
      </c>
    </row>
    <row r="23" spans="1:2" x14ac:dyDescent="0.2">
      <c r="B23" t="s">
        <v>53</v>
      </c>
    </row>
    <row r="24" spans="1:2" x14ac:dyDescent="0.2">
      <c r="B24" t="s">
        <v>109</v>
      </c>
    </row>
    <row r="25" spans="1:2" x14ac:dyDescent="0.2">
      <c r="A25" t="s">
        <v>345</v>
      </c>
      <c r="B25" t="s">
        <v>95</v>
      </c>
    </row>
    <row r="26" spans="1:2" x14ac:dyDescent="0.2">
      <c r="B26" t="s">
        <v>232</v>
      </c>
    </row>
    <row r="27" spans="1:2" x14ac:dyDescent="0.2">
      <c r="B27" t="s">
        <v>123</v>
      </c>
    </row>
    <row r="28" spans="1:2" x14ac:dyDescent="0.2">
      <c r="B28" t="s">
        <v>63</v>
      </c>
    </row>
    <row r="29" spans="1:2" x14ac:dyDescent="0.2">
      <c r="B29" t="s">
        <v>86</v>
      </c>
    </row>
    <row r="30" spans="1:2" x14ac:dyDescent="0.2">
      <c r="A30" t="s">
        <v>343</v>
      </c>
      <c r="B30" t="s">
        <v>57</v>
      </c>
    </row>
    <row r="31" spans="1:2" x14ac:dyDescent="0.2">
      <c r="B31" t="s">
        <v>187</v>
      </c>
    </row>
    <row r="32" spans="1:2" x14ac:dyDescent="0.2">
      <c r="A32" t="s">
        <v>50</v>
      </c>
      <c r="B32" t="s">
        <v>178</v>
      </c>
    </row>
    <row r="33" spans="1:2" x14ac:dyDescent="0.2">
      <c r="B33" t="s">
        <v>303</v>
      </c>
    </row>
    <row r="34" spans="1:2" x14ac:dyDescent="0.2">
      <c r="A34" t="s">
        <v>342</v>
      </c>
      <c r="B34" t="s">
        <v>250</v>
      </c>
    </row>
    <row r="35" spans="1:2" x14ac:dyDescent="0.2">
      <c r="A35" t="s">
        <v>346</v>
      </c>
      <c r="B35" t="s">
        <v>32</v>
      </c>
    </row>
    <row r="36" spans="1:2" x14ac:dyDescent="0.2">
      <c r="A36" t="s">
        <v>347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28AF1-F94B-4DC7-9150-B12D12D1AEED}">
  <dimension ref="A1:N64"/>
  <sheetViews>
    <sheetView workbookViewId="0">
      <pane xSplit="1" ySplit="2" topLeftCell="B43" activePane="bottomRight" state="frozen"/>
      <selection pane="topRight" activeCell="C1" sqref="C1"/>
      <selection pane="bottomLeft" activeCell="A3" sqref="A3"/>
      <selection pane="bottomRight" activeCell="A51" sqref="A51"/>
    </sheetView>
  </sheetViews>
  <sheetFormatPr baseColWidth="10" defaultColWidth="8.83203125" defaultRowHeight="15" x14ac:dyDescent="0.2"/>
  <cols>
    <col min="1" max="1" width="19.5" bestFit="1" customWidth="1"/>
    <col min="5" max="5" width="10.33203125" bestFit="1" customWidth="1"/>
    <col min="8" max="8" width="10.33203125" bestFit="1" customWidth="1"/>
    <col min="10" max="10" width="20.1640625" bestFit="1" customWidth="1"/>
    <col min="11" max="11" width="13.33203125" bestFit="1" customWidth="1"/>
    <col min="12" max="12" width="18.1640625" bestFit="1" customWidth="1"/>
    <col min="13" max="13" width="18.83203125" bestFit="1" customWidth="1"/>
    <col min="14" max="14" width="20" bestFit="1" customWidth="1"/>
  </cols>
  <sheetData>
    <row r="1" spans="1:14" ht="16" x14ac:dyDescent="0.2">
      <c r="A1" s="118">
        <f>COUNTA(A3:A500)</f>
        <v>62</v>
      </c>
      <c r="B1" s="118">
        <f>SUM(B3:B500)</f>
        <v>17</v>
      </c>
      <c r="C1" s="118">
        <f t="shared" ref="C1:F1" si="0">SUM(C3:C500)</f>
        <v>1</v>
      </c>
      <c r="D1" s="118">
        <f t="shared" si="0"/>
        <v>5</v>
      </c>
      <c r="E1" s="118">
        <f t="shared" si="0"/>
        <v>8</v>
      </c>
      <c r="F1" s="118">
        <f t="shared" si="0"/>
        <v>30</v>
      </c>
      <c r="H1" s="34">
        <v>45766</v>
      </c>
      <c r="J1" s="118">
        <f>B1</f>
        <v>17</v>
      </c>
      <c r="K1" s="118">
        <f>C1</f>
        <v>1</v>
      </c>
      <c r="L1" s="118">
        <f>D1</f>
        <v>5</v>
      </c>
      <c r="M1" s="118">
        <f>E1</f>
        <v>8</v>
      </c>
      <c r="N1" s="118">
        <f t="shared" ref="N1" si="1">F1</f>
        <v>30</v>
      </c>
    </row>
    <row r="2" spans="1:14" ht="19" x14ac:dyDescent="0.25">
      <c r="A2" s="1" t="s">
        <v>2</v>
      </c>
      <c r="B2" t="s">
        <v>8</v>
      </c>
      <c r="C2" t="s">
        <v>332</v>
      </c>
      <c r="D2" t="s">
        <v>335</v>
      </c>
      <c r="E2" t="s">
        <v>333</v>
      </c>
      <c r="F2" t="s">
        <v>248</v>
      </c>
      <c r="J2" s="117" t="s">
        <v>8</v>
      </c>
      <c r="K2" s="117" t="s">
        <v>332</v>
      </c>
      <c r="L2" s="117" t="s">
        <v>335</v>
      </c>
      <c r="M2" s="117" t="s">
        <v>333</v>
      </c>
      <c r="N2" s="117" t="s">
        <v>248</v>
      </c>
    </row>
    <row r="3" spans="1:14" x14ac:dyDescent="0.2">
      <c r="A3" s="36" t="s">
        <v>250</v>
      </c>
      <c r="E3">
        <v>1</v>
      </c>
      <c r="J3" t="str" cm="1">
        <f t="array" ref="J3:J19">_xlfn._xlws.FILTER(A3:A64,B3:B64=1)</f>
        <v>Ravinder Rawal</v>
      </c>
      <c r="K3" t="str" cm="1">
        <f t="array" ref="K3">_xlfn._xlws.FILTER(A3:A64,C3:C64=1)</f>
        <v>Avanish Pathak</v>
      </c>
      <c r="L3" t="str" cm="1">
        <f t="array" ref="L3:L7">_xlfn._xlws.FILTER(A3:A64,D3:D64=1)</f>
        <v>Mrs Devesh Chauhan</v>
      </c>
      <c r="M3" t="str" cm="1">
        <f t="array" ref="M3:M10">_xlfn._xlws.FILTER(A3:A64,E3:E64=1)</f>
        <v>Soumya Verma (Amit)</v>
      </c>
      <c r="N3" t="str" cm="1">
        <f t="array" ref="N3:N32">_xlfn._xlws.FILTER(A3:A64,F3:F64=1)</f>
        <v>Sonam Anand</v>
      </c>
    </row>
    <row r="4" spans="1:14" x14ac:dyDescent="0.2">
      <c r="A4" s="36" t="s">
        <v>187</v>
      </c>
      <c r="B4">
        <v>1</v>
      </c>
      <c r="J4" t="str">
        <v>Devesh Chauhan</v>
      </c>
      <c r="L4" t="str">
        <v>Omkar Vaidya</v>
      </c>
      <c r="M4" t="str">
        <v>Bikash Shaw</v>
      </c>
      <c r="N4" t="str">
        <v>Sakshi Pandey</v>
      </c>
    </row>
    <row r="5" spans="1:14" x14ac:dyDescent="0.2">
      <c r="A5" s="36" t="s">
        <v>215</v>
      </c>
      <c r="B5">
        <v>1</v>
      </c>
      <c r="J5" t="str">
        <v>Utkarsh Shah</v>
      </c>
      <c r="L5" t="str">
        <v>Amrut Chavan</v>
      </c>
      <c r="M5" t="str">
        <v>Monty Singh</v>
      </c>
      <c r="N5" t="str">
        <v>Ritesh Kumar</v>
      </c>
    </row>
    <row r="6" spans="1:14" x14ac:dyDescent="0.2">
      <c r="A6" s="36" t="s">
        <v>334</v>
      </c>
      <c r="D6">
        <v>1</v>
      </c>
      <c r="J6" t="str">
        <v>Siddhesh</v>
      </c>
      <c r="L6" t="str">
        <v>Sachin K</v>
      </c>
      <c r="M6" t="str">
        <v>Swapnil G</v>
      </c>
      <c r="N6" t="str">
        <v>Amrendra Singh</v>
      </c>
    </row>
    <row r="7" spans="1:14" x14ac:dyDescent="0.2">
      <c r="A7" s="36" t="s">
        <v>264</v>
      </c>
      <c r="E7">
        <v>1</v>
      </c>
      <c r="J7" t="str">
        <v>Shrishti Singh</v>
      </c>
      <c r="L7" t="str">
        <v>Sanjoy Ghosh</v>
      </c>
      <c r="M7" t="str">
        <v>Mayank Pant</v>
      </c>
      <c r="N7" t="str">
        <v>Rajesh Jaiswal</v>
      </c>
    </row>
    <row r="8" spans="1:14" x14ac:dyDescent="0.2">
      <c r="A8" s="36" t="s">
        <v>305</v>
      </c>
      <c r="F8">
        <v>1</v>
      </c>
      <c r="J8" t="str">
        <v>Sayali Gaikwad</v>
      </c>
      <c r="M8" t="str">
        <v>Amit V</v>
      </c>
      <c r="N8" t="str">
        <v>Ishan Kotian</v>
      </c>
    </row>
    <row r="9" spans="1:14" x14ac:dyDescent="0.2">
      <c r="A9" s="36" t="s">
        <v>303</v>
      </c>
      <c r="D9">
        <v>1</v>
      </c>
      <c r="J9" t="str">
        <v>Sourangshu M</v>
      </c>
      <c r="M9" t="str">
        <v>Nishant K</v>
      </c>
      <c r="N9" t="str">
        <v>Akshay Shah</v>
      </c>
    </row>
    <row r="10" spans="1:14" x14ac:dyDescent="0.2">
      <c r="A10" s="36" t="s">
        <v>232</v>
      </c>
      <c r="F10">
        <v>1</v>
      </c>
      <c r="J10" t="str">
        <v>Shailendra K</v>
      </c>
      <c r="M10" t="str">
        <v>Sanjoy M</v>
      </c>
      <c r="N10" t="str">
        <v>Balgovind Pal</v>
      </c>
    </row>
    <row r="11" spans="1:14" x14ac:dyDescent="0.2">
      <c r="A11" s="36" t="s">
        <v>266</v>
      </c>
      <c r="D11" t="s">
        <v>336</v>
      </c>
      <c r="F11">
        <v>1</v>
      </c>
      <c r="J11" t="str">
        <v>Harish S</v>
      </c>
      <c r="N11" t="str">
        <v>Mahesh Sawant</v>
      </c>
    </row>
    <row r="12" spans="1:14" x14ac:dyDescent="0.2">
      <c r="A12" s="36" t="s">
        <v>178</v>
      </c>
      <c r="E12">
        <v>1</v>
      </c>
      <c r="J12" t="str">
        <v>Kunal M</v>
      </c>
      <c r="N12" t="str">
        <v>Uttam Yamgar</v>
      </c>
    </row>
    <row r="13" spans="1:14" x14ac:dyDescent="0.2">
      <c r="A13" s="36" t="s">
        <v>262</v>
      </c>
      <c r="B13">
        <v>1</v>
      </c>
      <c r="J13" t="str">
        <v>Sagar G</v>
      </c>
      <c r="N13" t="str">
        <v>Abhay Sail</v>
      </c>
    </row>
    <row r="14" spans="1:14" x14ac:dyDescent="0.2">
      <c r="A14" s="36" t="s">
        <v>184</v>
      </c>
      <c r="B14">
        <v>1</v>
      </c>
      <c r="J14" t="str">
        <v>Chris F</v>
      </c>
      <c r="N14" t="str">
        <v>Subhrangshu N</v>
      </c>
    </row>
    <row r="15" spans="1:14" x14ac:dyDescent="0.2">
      <c r="A15" s="9" t="s">
        <v>22</v>
      </c>
      <c r="F15">
        <v>1</v>
      </c>
      <c r="J15" t="str">
        <v>Milton</v>
      </c>
      <c r="N15" t="str">
        <v>Vaishali K</v>
      </c>
    </row>
    <row r="16" spans="1:14" x14ac:dyDescent="0.2">
      <c r="A16" s="36" t="s">
        <v>29</v>
      </c>
      <c r="F16">
        <v>1</v>
      </c>
      <c r="J16" t="str">
        <v>Sagar (Hemant Sharma)</v>
      </c>
      <c r="N16" t="str">
        <v>Shreya S</v>
      </c>
    </row>
    <row r="17" spans="1:14" x14ac:dyDescent="0.2">
      <c r="A17" s="36" t="s">
        <v>149</v>
      </c>
      <c r="F17">
        <v>1</v>
      </c>
      <c r="J17" t="str">
        <v>Hemant Sharma</v>
      </c>
      <c r="N17" t="str">
        <v>Sachin J</v>
      </c>
    </row>
    <row r="18" spans="1:14" x14ac:dyDescent="0.2">
      <c r="A18" s="36" t="s">
        <v>330</v>
      </c>
      <c r="B18">
        <v>1</v>
      </c>
      <c r="J18" t="str">
        <v>Ankita Rahate</v>
      </c>
      <c r="N18" t="str">
        <v>Narinder Singh Sachdev</v>
      </c>
    </row>
    <row r="19" spans="1:14" x14ac:dyDescent="0.2">
      <c r="A19" s="9" t="s">
        <v>43</v>
      </c>
      <c r="F19">
        <v>1</v>
      </c>
      <c r="J19" t="str">
        <v>Sourav C</v>
      </c>
      <c r="N19" t="str">
        <v>Anand K</v>
      </c>
    </row>
    <row r="20" spans="1:14" x14ac:dyDescent="0.2">
      <c r="A20" s="9" t="s">
        <v>45</v>
      </c>
      <c r="F20">
        <v>1</v>
      </c>
      <c r="N20" t="str">
        <v>Prashita T</v>
      </c>
    </row>
    <row r="21" spans="1:14" x14ac:dyDescent="0.2">
      <c r="A21" s="9" t="s">
        <v>47</v>
      </c>
      <c r="C21">
        <v>1</v>
      </c>
      <c r="N21" t="str">
        <v>Rajesh Pal</v>
      </c>
    </row>
    <row r="22" spans="1:14" x14ac:dyDescent="0.2">
      <c r="A22" s="9" t="s">
        <v>49</v>
      </c>
      <c r="F22">
        <v>1</v>
      </c>
      <c r="N22" t="str">
        <v>Samuel Brainerd</v>
      </c>
    </row>
    <row r="23" spans="1:14" x14ac:dyDescent="0.2">
      <c r="A23" s="9" t="s">
        <v>53</v>
      </c>
      <c r="F23">
        <v>1</v>
      </c>
      <c r="N23" t="str">
        <v>Ajinkyasing Paradeshi</v>
      </c>
    </row>
    <row r="24" spans="1:14" x14ac:dyDescent="0.2">
      <c r="A24" s="2" t="s">
        <v>55</v>
      </c>
      <c r="F24">
        <v>1</v>
      </c>
      <c r="N24" t="str">
        <v>Rajesh Gangan</v>
      </c>
    </row>
    <row r="25" spans="1:14" x14ac:dyDescent="0.2">
      <c r="A25" s="9" t="s">
        <v>57</v>
      </c>
      <c r="D25">
        <v>1</v>
      </c>
      <c r="N25" t="str">
        <v>Ajay Sharma</v>
      </c>
    </row>
    <row r="26" spans="1:14" x14ac:dyDescent="0.2">
      <c r="A26" s="36" t="s">
        <v>63</v>
      </c>
      <c r="B26">
        <v>1</v>
      </c>
      <c r="N26" t="str">
        <v>Jitendra M</v>
      </c>
    </row>
    <row r="27" spans="1:14" x14ac:dyDescent="0.2">
      <c r="A27" s="9" t="s">
        <v>65</v>
      </c>
      <c r="E27">
        <v>1</v>
      </c>
      <c r="N27" t="str">
        <v>Rohit S</v>
      </c>
    </row>
    <row r="28" spans="1:14" x14ac:dyDescent="0.2">
      <c r="A28" s="9" t="s">
        <v>68</v>
      </c>
      <c r="B28">
        <v>1</v>
      </c>
      <c r="N28" t="str">
        <v>Santosh F</v>
      </c>
    </row>
    <row r="29" spans="1:14" x14ac:dyDescent="0.2">
      <c r="A29" s="9" t="s">
        <v>70</v>
      </c>
      <c r="B29">
        <v>1</v>
      </c>
      <c r="N29" t="str">
        <v>Subir Choudhury</v>
      </c>
    </row>
    <row r="30" spans="1:14" x14ac:dyDescent="0.2">
      <c r="A30" s="9" t="s">
        <v>72</v>
      </c>
      <c r="B30">
        <v>1</v>
      </c>
      <c r="N30" t="str">
        <v>Rinkesh</v>
      </c>
    </row>
    <row r="31" spans="1:14" x14ac:dyDescent="0.2">
      <c r="A31" s="9" t="s">
        <v>74</v>
      </c>
      <c r="B31">
        <v>1</v>
      </c>
      <c r="N31" t="str">
        <v>Suvajit R</v>
      </c>
    </row>
    <row r="32" spans="1:14" x14ac:dyDescent="0.2">
      <c r="A32" s="36" t="s">
        <v>76</v>
      </c>
      <c r="B32">
        <v>1</v>
      </c>
      <c r="N32" t="str">
        <v>Rohan K</v>
      </c>
    </row>
    <row r="33" spans="1:6" x14ac:dyDescent="0.2">
      <c r="A33" s="9" t="s">
        <v>78</v>
      </c>
      <c r="B33">
        <v>1</v>
      </c>
    </row>
    <row r="34" spans="1:6" x14ac:dyDescent="0.2">
      <c r="A34" s="9" t="s">
        <v>84</v>
      </c>
      <c r="E34">
        <v>1</v>
      </c>
    </row>
    <row r="35" spans="1:6" x14ac:dyDescent="0.2">
      <c r="A35" s="2" t="s">
        <v>86</v>
      </c>
      <c r="F35">
        <v>1</v>
      </c>
    </row>
    <row r="36" spans="1:6" x14ac:dyDescent="0.2">
      <c r="A36" s="36" t="s">
        <v>88</v>
      </c>
      <c r="E36">
        <v>1</v>
      </c>
    </row>
    <row r="37" spans="1:6" x14ac:dyDescent="0.2">
      <c r="A37" s="9" t="s">
        <v>92</v>
      </c>
      <c r="B37">
        <v>1</v>
      </c>
    </row>
    <row r="38" spans="1:6" x14ac:dyDescent="0.2">
      <c r="A38" s="9" t="s">
        <v>95</v>
      </c>
      <c r="E38">
        <v>1</v>
      </c>
    </row>
    <row r="39" spans="1:6" x14ac:dyDescent="0.2">
      <c r="A39" s="9" t="s">
        <v>97</v>
      </c>
      <c r="B39">
        <v>1</v>
      </c>
    </row>
    <row r="40" spans="1:6" x14ac:dyDescent="0.2">
      <c r="A40" s="9" t="s">
        <v>100</v>
      </c>
      <c r="B40">
        <v>1</v>
      </c>
    </row>
    <row r="41" spans="1:6" x14ac:dyDescent="0.2">
      <c r="A41" s="9" t="s">
        <v>59</v>
      </c>
      <c r="B41">
        <v>1</v>
      </c>
    </row>
    <row r="42" spans="1:6" x14ac:dyDescent="0.2">
      <c r="A42" s="9" t="s">
        <v>103</v>
      </c>
    </row>
    <row r="43" spans="1:6" x14ac:dyDescent="0.2">
      <c r="A43" s="2" t="s">
        <v>82</v>
      </c>
      <c r="D43">
        <v>1</v>
      </c>
    </row>
    <row r="44" spans="1:6" x14ac:dyDescent="0.2">
      <c r="A44" s="2" t="s">
        <v>109</v>
      </c>
      <c r="F44">
        <v>1</v>
      </c>
    </row>
    <row r="45" spans="1:6" x14ac:dyDescent="0.2">
      <c r="A45" s="2" t="s">
        <v>117</v>
      </c>
      <c r="F45">
        <v>1</v>
      </c>
    </row>
    <row r="46" spans="1:6" x14ac:dyDescent="0.2">
      <c r="A46" s="2" t="s">
        <v>119</v>
      </c>
      <c r="B46">
        <v>1</v>
      </c>
    </row>
    <row r="47" spans="1:6" x14ac:dyDescent="0.2">
      <c r="A47" s="2" t="s">
        <v>123</v>
      </c>
      <c r="E47">
        <v>1</v>
      </c>
    </row>
    <row r="48" spans="1:6" x14ac:dyDescent="0.2">
      <c r="A48" s="2" t="s">
        <v>326</v>
      </c>
      <c r="D48">
        <v>1</v>
      </c>
    </row>
    <row r="49" spans="1:6" x14ac:dyDescent="0.2">
      <c r="A49" s="49" t="s">
        <v>125</v>
      </c>
      <c r="F49">
        <v>1</v>
      </c>
    </row>
    <row r="50" spans="1:6" x14ac:dyDescent="0.2">
      <c r="A50" s="68" t="s">
        <v>114</v>
      </c>
      <c r="F50">
        <v>1</v>
      </c>
    </row>
    <row r="51" spans="1:6" x14ac:dyDescent="0.2">
      <c r="A51" s="9" t="s">
        <v>80</v>
      </c>
      <c r="F51">
        <v>1</v>
      </c>
    </row>
    <row r="52" spans="1:6" x14ac:dyDescent="0.2">
      <c r="A52" s="9" t="s">
        <v>90</v>
      </c>
      <c r="F52">
        <v>1</v>
      </c>
    </row>
    <row r="53" spans="1:6" x14ac:dyDescent="0.2">
      <c r="A53" s="9" t="s">
        <v>41</v>
      </c>
      <c r="F53">
        <v>1</v>
      </c>
    </row>
    <row r="54" spans="1:6" x14ac:dyDescent="0.2">
      <c r="A54" s="36" t="s">
        <v>32</v>
      </c>
      <c r="F54">
        <v>1</v>
      </c>
    </row>
    <row r="55" spans="1:6" x14ac:dyDescent="0.2">
      <c r="A55" s="9" t="s">
        <v>34</v>
      </c>
      <c r="F55">
        <v>1</v>
      </c>
    </row>
    <row r="56" spans="1:6" x14ac:dyDescent="0.2">
      <c r="A56" s="36" t="s">
        <v>61</v>
      </c>
      <c r="F56">
        <v>1</v>
      </c>
    </row>
    <row r="57" spans="1:6" x14ac:dyDescent="0.2">
      <c r="A57" s="52" t="s">
        <v>39</v>
      </c>
      <c r="F57">
        <v>1</v>
      </c>
    </row>
    <row r="58" spans="1:6" x14ac:dyDescent="0.2">
      <c r="A58" s="69" t="s">
        <v>127</v>
      </c>
      <c r="F58">
        <v>1</v>
      </c>
    </row>
    <row r="59" spans="1:6" x14ac:dyDescent="0.2">
      <c r="A59" s="36" t="s">
        <v>129</v>
      </c>
      <c r="F59">
        <v>1</v>
      </c>
    </row>
    <row r="60" spans="1:6" x14ac:dyDescent="0.2">
      <c r="A60" s="9" t="s">
        <v>131</v>
      </c>
      <c r="F60">
        <v>1</v>
      </c>
    </row>
    <row r="61" spans="1:6" x14ac:dyDescent="0.2">
      <c r="A61" s="9" t="s">
        <v>133</v>
      </c>
      <c r="F61">
        <v>1</v>
      </c>
    </row>
    <row r="62" spans="1:6" x14ac:dyDescent="0.2">
      <c r="A62" s="36" t="s">
        <v>106</v>
      </c>
      <c r="F62">
        <v>1</v>
      </c>
    </row>
    <row r="63" spans="1:6" x14ac:dyDescent="0.2">
      <c r="A63" s="9" t="s">
        <v>135</v>
      </c>
      <c r="F63">
        <v>1</v>
      </c>
    </row>
    <row r="64" spans="1:6" x14ac:dyDescent="0.2">
      <c r="A64" s="9" t="s">
        <v>137</v>
      </c>
      <c r="F64">
        <v>1</v>
      </c>
    </row>
  </sheetData>
  <conditionalFormatting sqref="A2:A525">
    <cfRule type="notContainsBlanks" dxfId="9" priority="3">
      <formula>LEN(TRIM(A2))&gt;0</formula>
    </cfRule>
  </conditionalFormatting>
  <conditionalFormatting sqref="A3:A525">
    <cfRule type="expression" dxfId="8" priority="19">
      <formula>(#REF!="New")</formula>
    </cfRule>
    <cfRule type="expression" dxfId="7" priority="20">
      <formula>COUNTIF($O3:$T3,"Pause")&gt;0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4E407-C83A-4096-9EC0-3564C2AE3095}">
  <dimension ref="A1:M65"/>
  <sheetViews>
    <sheetView showGridLines="0" topLeftCell="A38" zoomScaleNormal="100" workbookViewId="0">
      <selection activeCell="N11" sqref="N11"/>
    </sheetView>
  </sheetViews>
  <sheetFormatPr baseColWidth="10" defaultColWidth="8.83203125" defaultRowHeight="15" x14ac:dyDescent="0.2"/>
  <cols>
    <col min="1" max="1" width="19.6640625" bestFit="1" customWidth="1"/>
    <col min="2" max="2" width="9.5" bestFit="1" customWidth="1"/>
    <col min="3" max="3" width="11.33203125" bestFit="1" customWidth="1"/>
    <col min="4" max="6" width="11.83203125" bestFit="1" customWidth="1"/>
    <col min="7" max="7" width="21.83203125" bestFit="1" customWidth="1"/>
    <col min="8" max="8" width="18.5" customWidth="1"/>
    <col min="9" max="9" width="16.1640625" bestFit="1" customWidth="1"/>
    <col min="11" max="12" width="2.5" customWidth="1"/>
    <col min="13" max="13" width="15.1640625" bestFit="1" customWidth="1"/>
    <col min="14" max="14" width="10.33203125" customWidth="1"/>
  </cols>
  <sheetData>
    <row r="1" spans="1:13" ht="16" thickBot="1" x14ac:dyDescent="0.25">
      <c r="E1" s="72">
        <f>E2/A3</f>
        <v>0.4098360655737705</v>
      </c>
      <c r="I1" s="72">
        <f>I2/J3</f>
        <v>0.42424242424242425</v>
      </c>
      <c r="J1" s="72">
        <f>J3/A3</f>
        <v>0.54098360655737709</v>
      </c>
    </row>
    <row r="2" spans="1:13" ht="19" x14ac:dyDescent="0.25">
      <c r="B2" s="73"/>
      <c r="C2" s="74">
        <f>C3+B3</f>
        <v>3</v>
      </c>
      <c r="D2" s="73"/>
      <c r="E2" s="74">
        <f>E3+D3</f>
        <v>25</v>
      </c>
      <c r="H2" s="73"/>
      <c r="I2" s="74">
        <f>I3+H3</f>
        <v>14</v>
      </c>
      <c r="J2" s="72"/>
    </row>
    <row r="3" spans="1:13" ht="28.25" customHeight="1" thickBot="1" x14ac:dyDescent="0.4">
      <c r="A3" s="71">
        <f>COUNTA(A5:A65)</f>
        <v>61</v>
      </c>
      <c r="B3" s="75">
        <f t="shared" ref="B3:J3" si="0">SUM(B5:B65)</f>
        <v>0</v>
      </c>
      <c r="C3" s="76">
        <f t="shared" si="0"/>
        <v>3</v>
      </c>
      <c r="D3" s="75">
        <f t="shared" si="0"/>
        <v>9</v>
      </c>
      <c r="E3" s="76">
        <f t="shared" si="0"/>
        <v>16</v>
      </c>
      <c r="F3" s="71">
        <f t="shared" si="0"/>
        <v>11</v>
      </c>
      <c r="G3" s="71">
        <f t="shared" si="0"/>
        <v>9</v>
      </c>
      <c r="H3" s="75">
        <f t="shared" si="0"/>
        <v>8</v>
      </c>
      <c r="I3" s="76">
        <f t="shared" si="0"/>
        <v>6</v>
      </c>
      <c r="J3" s="71">
        <f t="shared" si="0"/>
        <v>33</v>
      </c>
    </row>
    <row r="4" spans="1:13" s="103" customFormat="1" ht="27.5" customHeight="1" thickBot="1" x14ac:dyDescent="0.25">
      <c r="A4" s="102" t="s">
        <v>2</v>
      </c>
      <c r="B4" s="104" t="s">
        <v>312</v>
      </c>
      <c r="C4" s="105" t="s">
        <v>313</v>
      </c>
      <c r="D4" s="106" t="s">
        <v>314</v>
      </c>
      <c r="E4" s="107" t="s">
        <v>315</v>
      </c>
      <c r="F4" s="108" t="s">
        <v>316</v>
      </c>
      <c r="G4" s="109" t="s">
        <v>317</v>
      </c>
      <c r="H4" s="110" t="s">
        <v>321</v>
      </c>
      <c r="I4" s="111" t="s">
        <v>322</v>
      </c>
      <c r="J4" s="112" t="s">
        <v>320</v>
      </c>
      <c r="K4" s="113" t="s">
        <v>327</v>
      </c>
      <c r="L4" s="114" t="s">
        <v>328</v>
      </c>
      <c r="M4" s="115" t="s">
        <v>325</v>
      </c>
    </row>
    <row r="5" spans="1:13" x14ac:dyDescent="0.2">
      <c r="A5" s="36" t="s">
        <v>250</v>
      </c>
      <c r="B5" s="89"/>
      <c r="C5" s="90"/>
      <c r="D5" s="85"/>
      <c r="E5" s="86"/>
      <c r="F5" s="77"/>
      <c r="G5" s="78">
        <v>1</v>
      </c>
      <c r="H5" s="79"/>
      <c r="I5" s="80"/>
      <c r="J5" s="94">
        <f>IF(SUM(F5:I5)&gt;0,1,"")</f>
        <v>1</v>
      </c>
      <c r="K5" s="100">
        <v>1</v>
      </c>
      <c r="L5" s="101"/>
      <c r="M5" s="93" t="s">
        <v>323</v>
      </c>
    </row>
    <row r="6" spans="1:13" x14ac:dyDescent="0.2">
      <c r="A6" s="36" t="s">
        <v>187</v>
      </c>
      <c r="B6" s="89"/>
      <c r="C6" s="90"/>
      <c r="D6" s="85"/>
      <c r="E6" s="86"/>
      <c r="F6" s="77"/>
      <c r="G6" s="78"/>
      <c r="H6" s="79"/>
      <c r="I6" s="80">
        <v>1</v>
      </c>
      <c r="J6" s="94">
        <f t="shared" ref="J6:J65" si="1">IF(SUM(F6:I6)&gt;0,1,"")</f>
        <v>1</v>
      </c>
      <c r="K6" s="96"/>
      <c r="L6" s="97"/>
      <c r="M6" s="93"/>
    </row>
    <row r="7" spans="1:13" x14ac:dyDescent="0.2">
      <c r="A7" s="36" t="s">
        <v>215</v>
      </c>
      <c r="B7" s="89"/>
      <c r="C7" s="90"/>
      <c r="D7" s="85"/>
      <c r="E7" s="86"/>
      <c r="F7" s="77"/>
      <c r="G7" s="78"/>
      <c r="H7" s="79"/>
      <c r="I7" s="80">
        <v>1</v>
      </c>
      <c r="J7" s="94">
        <f t="shared" si="1"/>
        <v>1</v>
      </c>
      <c r="K7" s="96"/>
      <c r="L7" s="97"/>
      <c r="M7" s="93"/>
    </row>
    <row r="8" spans="1:13" x14ac:dyDescent="0.2">
      <c r="A8" s="36" t="s">
        <v>264</v>
      </c>
      <c r="B8" s="89"/>
      <c r="C8" s="90"/>
      <c r="D8" s="85"/>
      <c r="E8" s="86"/>
      <c r="F8" s="77">
        <v>1</v>
      </c>
      <c r="G8" s="78"/>
      <c r="H8" s="79"/>
      <c r="I8" s="80"/>
      <c r="J8" s="94">
        <f t="shared" si="1"/>
        <v>1</v>
      </c>
      <c r="K8" s="96"/>
      <c r="L8" s="97"/>
      <c r="M8" s="93"/>
    </row>
    <row r="9" spans="1:13" x14ac:dyDescent="0.2">
      <c r="A9" s="36" t="s">
        <v>305</v>
      </c>
      <c r="B9" s="89"/>
      <c r="C9" s="90"/>
      <c r="D9" s="85"/>
      <c r="E9" s="86"/>
      <c r="F9" s="77"/>
      <c r="G9" s="78"/>
      <c r="H9" s="79">
        <v>1</v>
      </c>
      <c r="I9" s="80"/>
      <c r="J9" s="94">
        <f t="shared" si="1"/>
        <v>1</v>
      </c>
      <c r="K9" s="96"/>
      <c r="L9" s="97"/>
      <c r="M9" s="93"/>
    </row>
    <row r="10" spans="1:13" x14ac:dyDescent="0.2">
      <c r="A10" s="36" t="s">
        <v>303</v>
      </c>
      <c r="B10" s="89"/>
      <c r="C10" s="90"/>
      <c r="D10" s="85"/>
      <c r="E10" s="86"/>
      <c r="F10" s="77"/>
      <c r="G10" s="78">
        <v>1</v>
      </c>
      <c r="H10" s="79"/>
      <c r="I10" s="80"/>
      <c r="J10" s="94">
        <f t="shared" si="1"/>
        <v>1</v>
      </c>
      <c r="K10" s="96">
        <v>1</v>
      </c>
      <c r="L10" s="97"/>
      <c r="M10" s="93" t="s">
        <v>323</v>
      </c>
    </row>
    <row r="11" spans="1:13" x14ac:dyDescent="0.2">
      <c r="A11" s="36" t="s">
        <v>232</v>
      </c>
      <c r="B11" s="89"/>
      <c r="C11" s="90"/>
      <c r="D11" s="85"/>
      <c r="E11" s="86"/>
      <c r="F11" s="77"/>
      <c r="G11" s="78"/>
      <c r="H11" s="79"/>
      <c r="I11" s="80">
        <v>1</v>
      </c>
      <c r="J11" s="94">
        <f t="shared" si="1"/>
        <v>1</v>
      </c>
      <c r="K11" s="96"/>
      <c r="L11" s="97"/>
      <c r="M11" s="93" t="s">
        <v>324</v>
      </c>
    </row>
    <row r="12" spans="1:13" x14ac:dyDescent="0.2">
      <c r="A12" s="36" t="s">
        <v>266</v>
      </c>
      <c r="B12" s="89"/>
      <c r="C12" s="90">
        <v>1</v>
      </c>
      <c r="D12" s="85"/>
      <c r="E12" s="86"/>
      <c r="F12" s="77"/>
      <c r="G12" s="78">
        <v>1</v>
      </c>
      <c r="H12" s="79"/>
      <c r="I12" s="80"/>
      <c r="J12" s="94">
        <f t="shared" si="1"/>
        <v>1</v>
      </c>
      <c r="K12" s="96">
        <v>1</v>
      </c>
      <c r="L12" s="97"/>
      <c r="M12" s="93" t="s">
        <v>323</v>
      </c>
    </row>
    <row r="13" spans="1:13" x14ac:dyDescent="0.2">
      <c r="A13" s="36" t="s">
        <v>178</v>
      </c>
      <c r="B13" s="89"/>
      <c r="C13" s="90"/>
      <c r="D13" s="85"/>
      <c r="E13" s="86"/>
      <c r="F13" s="77"/>
      <c r="G13" s="78">
        <v>1</v>
      </c>
      <c r="H13" s="79"/>
      <c r="I13" s="80"/>
      <c r="J13" s="94">
        <f t="shared" si="1"/>
        <v>1</v>
      </c>
      <c r="K13" s="96">
        <v>1</v>
      </c>
      <c r="L13" s="97"/>
      <c r="M13" s="93" t="s">
        <v>323</v>
      </c>
    </row>
    <row r="14" spans="1:13" x14ac:dyDescent="0.2">
      <c r="A14" s="36" t="s">
        <v>262</v>
      </c>
      <c r="B14" s="89"/>
      <c r="C14" s="90"/>
      <c r="D14" s="85"/>
      <c r="E14" s="86"/>
      <c r="F14" s="77"/>
      <c r="G14" s="78"/>
      <c r="H14" s="79"/>
      <c r="I14" s="80">
        <v>1</v>
      </c>
      <c r="J14" s="94">
        <f t="shared" si="1"/>
        <v>1</v>
      </c>
      <c r="K14" s="96"/>
      <c r="L14" s="97"/>
      <c r="M14" s="93"/>
    </row>
    <row r="15" spans="1:13" x14ac:dyDescent="0.2">
      <c r="A15" s="36" t="s">
        <v>184</v>
      </c>
      <c r="B15" s="89"/>
      <c r="C15" s="90"/>
      <c r="D15" s="85"/>
      <c r="E15" s="86"/>
      <c r="F15" s="77"/>
      <c r="G15" s="78"/>
      <c r="H15" s="79"/>
      <c r="I15" s="80">
        <v>1</v>
      </c>
      <c r="J15" s="94">
        <f t="shared" si="1"/>
        <v>1</v>
      </c>
      <c r="K15" s="96"/>
      <c r="L15" s="97"/>
      <c r="M15" s="93"/>
    </row>
    <row r="16" spans="1:13" x14ac:dyDescent="0.2">
      <c r="A16" s="9" t="s">
        <v>22</v>
      </c>
      <c r="B16" s="89"/>
      <c r="C16" s="90"/>
      <c r="D16" s="85"/>
      <c r="E16" s="86">
        <v>1</v>
      </c>
      <c r="F16" s="77"/>
      <c r="G16" s="78"/>
      <c r="H16" s="79"/>
      <c r="I16" s="80"/>
      <c r="J16" s="94" t="str">
        <f t="shared" si="1"/>
        <v/>
      </c>
      <c r="K16" s="96"/>
      <c r="L16" s="97"/>
      <c r="M16" s="93"/>
    </row>
    <row r="17" spans="1:13" x14ac:dyDescent="0.2">
      <c r="A17" s="36" t="s">
        <v>29</v>
      </c>
      <c r="B17" s="89"/>
      <c r="C17" s="90"/>
      <c r="D17" s="85">
        <v>1</v>
      </c>
      <c r="E17" s="86"/>
      <c r="F17" s="77"/>
      <c r="G17" s="78"/>
      <c r="H17" s="79"/>
      <c r="I17" s="80"/>
      <c r="J17" s="94" t="str">
        <f t="shared" si="1"/>
        <v/>
      </c>
      <c r="K17" s="96"/>
      <c r="L17" s="97">
        <v>1</v>
      </c>
      <c r="M17" s="93"/>
    </row>
    <row r="18" spans="1:13" x14ac:dyDescent="0.2">
      <c r="A18" s="36" t="s">
        <v>149</v>
      </c>
      <c r="B18" s="89"/>
      <c r="C18" s="90"/>
      <c r="D18" s="85"/>
      <c r="E18" s="86"/>
      <c r="F18" s="77">
        <v>1</v>
      </c>
      <c r="G18" s="78"/>
      <c r="H18" s="79"/>
      <c r="I18" s="80"/>
      <c r="J18" s="94">
        <f t="shared" si="1"/>
        <v>1</v>
      </c>
      <c r="K18" s="96"/>
      <c r="L18" s="97"/>
      <c r="M18" s="93"/>
    </row>
    <row r="19" spans="1:13" x14ac:dyDescent="0.2">
      <c r="A19" s="36" t="s">
        <v>329</v>
      </c>
      <c r="B19" s="89"/>
      <c r="C19" s="90"/>
      <c r="D19" s="85"/>
      <c r="E19" s="86"/>
      <c r="F19" s="77">
        <v>1</v>
      </c>
      <c r="G19" s="78"/>
      <c r="H19" s="79"/>
      <c r="I19" s="80"/>
      <c r="J19" s="94"/>
      <c r="K19" s="96"/>
      <c r="L19" s="97"/>
      <c r="M19" s="93"/>
    </row>
    <row r="20" spans="1:13" x14ac:dyDescent="0.2">
      <c r="A20" s="9" t="s">
        <v>43</v>
      </c>
      <c r="B20" s="89"/>
      <c r="C20" s="90"/>
      <c r="D20" s="85">
        <v>1</v>
      </c>
      <c r="E20" s="86"/>
      <c r="F20" s="77"/>
      <c r="G20" s="78"/>
      <c r="H20" s="79"/>
      <c r="I20" s="80"/>
      <c r="J20" s="94" t="str">
        <f t="shared" si="1"/>
        <v/>
      </c>
      <c r="K20" s="96"/>
      <c r="L20" s="97"/>
      <c r="M20" s="93"/>
    </row>
    <row r="21" spans="1:13" x14ac:dyDescent="0.2">
      <c r="A21" s="9" t="s">
        <v>45</v>
      </c>
      <c r="B21" s="89"/>
      <c r="C21" s="90"/>
      <c r="D21" s="85">
        <v>1</v>
      </c>
      <c r="E21" s="86"/>
      <c r="F21" s="77"/>
      <c r="G21" s="78"/>
      <c r="H21" s="79"/>
      <c r="I21" s="80"/>
      <c r="J21" s="94" t="str">
        <f t="shared" si="1"/>
        <v/>
      </c>
      <c r="K21" s="96"/>
      <c r="L21" s="97">
        <v>1</v>
      </c>
      <c r="M21" s="93"/>
    </row>
    <row r="22" spans="1:13" x14ac:dyDescent="0.2">
      <c r="A22" s="9" t="s">
        <v>47</v>
      </c>
      <c r="B22" s="89"/>
      <c r="C22" s="90"/>
      <c r="D22" s="85"/>
      <c r="E22" s="86"/>
      <c r="F22" s="77"/>
      <c r="G22" s="78"/>
      <c r="H22" s="79">
        <v>1</v>
      </c>
      <c r="I22" s="80"/>
      <c r="J22" s="94">
        <f t="shared" si="1"/>
        <v>1</v>
      </c>
      <c r="K22" s="96"/>
      <c r="L22" s="97"/>
      <c r="M22" s="93"/>
    </row>
    <row r="23" spans="1:13" x14ac:dyDescent="0.2">
      <c r="A23" s="9" t="s">
        <v>49</v>
      </c>
      <c r="B23" s="89"/>
      <c r="C23" s="90"/>
      <c r="D23" s="85">
        <v>1</v>
      </c>
      <c r="E23" s="86"/>
      <c r="F23" s="77"/>
      <c r="G23" s="78"/>
      <c r="H23" s="79"/>
      <c r="I23" s="80"/>
      <c r="J23" s="94" t="str">
        <f t="shared" si="1"/>
        <v/>
      </c>
      <c r="K23" s="96"/>
      <c r="L23" s="97">
        <v>1</v>
      </c>
      <c r="M23" s="93" t="s">
        <v>318</v>
      </c>
    </row>
    <row r="24" spans="1:13" x14ac:dyDescent="0.2">
      <c r="A24" s="9" t="s">
        <v>53</v>
      </c>
      <c r="B24" s="89"/>
      <c r="C24" s="90"/>
      <c r="D24" s="85"/>
      <c r="E24" s="86"/>
      <c r="F24" s="77">
        <v>1</v>
      </c>
      <c r="G24" s="78"/>
      <c r="H24" s="79"/>
      <c r="I24" s="80"/>
      <c r="J24" s="94">
        <f t="shared" si="1"/>
        <v>1</v>
      </c>
      <c r="K24" s="96"/>
      <c r="L24" s="97"/>
      <c r="M24" s="93" t="s">
        <v>319</v>
      </c>
    </row>
    <row r="25" spans="1:13" x14ac:dyDescent="0.2">
      <c r="A25" s="2" t="s">
        <v>55</v>
      </c>
      <c r="B25" s="89"/>
      <c r="C25" s="90"/>
      <c r="D25" s="85"/>
      <c r="E25" s="86"/>
      <c r="F25" s="77"/>
      <c r="G25" s="78"/>
      <c r="H25" s="79"/>
      <c r="I25" s="80"/>
      <c r="J25" s="94" t="str">
        <f t="shared" si="1"/>
        <v/>
      </c>
      <c r="K25" s="96"/>
      <c r="L25" s="97">
        <v>1</v>
      </c>
      <c r="M25" s="93"/>
    </row>
    <row r="26" spans="1:13" x14ac:dyDescent="0.2">
      <c r="A26" s="9" t="s">
        <v>57</v>
      </c>
      <c r="B26" s="89"/>
      <c r="C26" s="90"/>
      <c r="D26" s="85"/>
      <c r="E26" s="86"/>
      <c r="F26" s="77"/>
      <c r="G26" s="78"/>
      <c r="H26" s="79"/>
      <c r="I26" s="80"/>
      <c r="J26" s="94" t="str">
        <f t="shared" si="1"/>
        <v/>
      </c>
      <c r="K26" s="96"/>
      <c r="L26" s="97">
        <v>1</v>
      </c>
      <c r="M26" s="93"/>
    </row>
    <row r="27" spans="1:13" x14ac:dyDescent="0.2">
      <c r="A27" s="36" t="s">
        <v>63</v>
      </c>
      <c r="B27" s="89"/>
      <c r="C27" s="90"/>
      <c r="D27" s="85"/>
      <c r="E27" s="86"/>
      <c r="F27" s="77">
        <v>1</v>
      </c>
      <c r="G27" s="78"/>
      <c r="H27" s="79"/>
      <c r="I27" s="80"/>
      <c r="J27" s="94">
        <f t="shared" si="1"/>
        <v>1</v>
      </c>
      <c r="K27" s="96"/>
      <c r="L27" s="97"/>
      <c r="M27" s="93"/>
    </row>
    <row r="28" spans="1:13" x14ac:dyDescent="0.2">
      <c r="A28" s="9" t="s">
        <v>65</v>
      </c>
      <c r="B28" s="89"/>
      <c r="C28" s="90"/>
      <c r="D28" s="85"/>
      <c r="E28" s="86"/>
      <c r="F28" s="77">
        <v>1</v>
      </c>
      <c r="G28" s="78"/>
      <c r="H28" s="79"/>
      <c r="I28" s="80"/>
      <c r="J28" s="94">
        <f t="shared" si="1"/>
        <v>1</v>
      </c>
      <c r="K28" s="96"/>
      <c r="L28" s="97"/>
      <c r="M28" s="93"/>
    </row>
    <row r="29" spans="1:13" x14ac:dyDescent="0.2">
      <c r="A29" s="9" t="s">
        <v>68</v>
      </c>
      <c r="B29" s="89"/>
      <c r="C29" s="90"/>
      <c r="D29" s="85"/>
      <c r="E29" s="86"/>
      <c r="F29" s="77">
        <v>1</v>
      </c>
      <c r="G29" s="78"/>
      <c r="H29" s="79"/>
      <c r="I29" s="80"/>
      <c r="J29" s="94">
        <f t="shared" si="1"/>
        <v>1</v>
      </c>
      <c r="K29" s="96"/>
      <c r="L29" s="97"/>
      <c r="M29" s="93"/>
    </row>
    <row r="30" spans="1:13" x14ac:dyDescent="0.2">
      <c r="A30" s="9" t="s">
        <v>70</v>
      </c>
      <c r="B30" s="89"/>
      <c r="C30" s="90"/>
      <c r="D30" s="85"/>
      <c r="E30" s="86"/>
      <c r="F30" s="77">
        <v>1</v>
      </c>
      <c r="G30" s="78"/>
      <c r="H30" s="79"/>
      <c r="I30" s="80"/>
      <c r="J30" s="94">
        <f t="shared" si="1"/>
        <v>1</v>
      </c>
      <c r="K30" s="96"/>
      <c r="L30" s="97"/>
      <c r="M30" s="93"/>
    </row>
    <row r="31" spans="1:13" x14ac:dyDescent="0.2">
      <c r="A31" s="9" t="s">
        <v>72</v>
      </c>
      <c r="B31" s="89"/>
      <c r="C31" s="90"/>
      <c r="D31" s="85"/>
      <c r="E31" s="86"/>
      <c r="F31" s="77"/>
      <c r="G31" s="78"/>
      <c r="H31" s="79">
        <v>1</v>
      </c>
      <c r="I31" s="80"/>
      <c r="J31" s="94">
        <f t="shared" si="1"/>
        <v>1</v>
      </c>
      <c r="K31" s="96"/>
      <c r="L31" s="97"/>
      <c r="M31" s="93"/>
    </row>
    <row r="32" spans="1:13" x14ac:dyDescent="0.2">
      <c r="A32" s="9" t="s">
        <v>74</v>
      </c>
      <c r="B32" s="89"/>
      <c r="C32" s="90"/>
      <c r="D32" s="85"/>
      <c r="E32" s="86"/>
      <c r="F32" s="77"/>
      <c r="G32" s="78"/>
      <c r="H32" s="79">
        <v>1</v>
      </c>
      <c r="I32" s="80"/>
      <c r="J32" s="94">
        <f t="shared" si="1"/>
        <v>1</v>
      </c>
      <c r="K32" s="96"/>
      <c r="L32" s="97"/>
      <c r="M32" s="93"/>
    </row>
    <row r="33" spans="1:13" x14ac:dyDescent="0.2">
      <c r="A33" s="36" t="s">
        <v>76</v>
      </c>
      <c r="B33" s="89"/>
      <c r="C33" s="90"/>
      <c r="D33" s="85"/>
      <c r="E33" s="86"/>
      <c r="F33" s="77"/>
      <c r="G33" s="78"/>
      <c r="H33" s="79">
        <v>1</v>
      </c>
      <c r="I33" s="80"/>
      <c r="J33" s="94">
        <f t="shared" si="1"/>
        <v>1</v>
      </c>
      <c r="K33" s="96"/>
      <c r="L33" s="97"/>
      <c r="M33" s="93"/>
    </row>
    <row r="34" spans="1:13" x14ac:dyDescent="0.2">
      <c r="A34" s="9" t="s">
        <v>78</v>
      </c>
      <c r="B34" s="89"/>
      <c r="C34" s="90"/>
      <c r="D34" s="85"/>
      <c r="E34" s="86"/>
      <c r="F34" s="77"/>
      <c r="G34" s="78"/>
      <c r="H34" s="79">
        <v>1</v>
      </c>
      <c r="I34" s="80"/>
      <c r="J34" s="94">
        <f t="shared" si="1"/>
        <v>1</v>
      </c>
      <c r="K34" s="96"/>
      <c r="L34" s="97"/>
      <c r="M34" s="93"/>
    </row>
    <row r="35" spans="1:13" x14ac:dyDescent="0.2">
      <c r="A35" s="9" t="s">
        <v>84</v>
      </c>
      <c r="B35" s="89"/>
      <c r="C35" s="90"/>
      <c r="D35" s="85"/>
      <c r="E35" s="86"/>
      <c r="F35" s="77"/>
      <c r="G35" s="78"/>
      <c r="H35" s="79">
        <v>1</v>
      </c>
      <c r="I35" s="80"/>
      <c r="J35" s="94">
        <f t="shared" si="1"/>
        <v>1</v>
      </c>
      <c r="K35" s="96"/>
      <c r="L35" s="97"/>
      <c r="M35" s="93"/>
    </row>
    <row r="36" spans="1:13" x14ac:dyDescent="0.2">
      <c r="A36" s="2" t="s">
        <v>86</v>
      </c>
      <c r="B36" s="89"/>
      <c r="C36" s="90"/>
      <c r="D36" s="85"/>
      <c r="E36" s="86"/>
      <c r="F36" s="77"/>
      <c r="G36" s="78"/>
      <c r="H36" s="79"/>
      <c r="I36" s="80">
        <v>1</v>
      </c>
      <c r="J36" s="94">
        <f t="shared" si="1"/>
        <v>1</v>
      </c>
      <c r="K36" s="96"/>
      <c r="L36" s="97"/>
      <c r="M36" s="93"/>
    </row>
    <row r="37" spans="1:13" x14ac:dyDescent="0.2">
      <c r="A37" s="36" t="s">
        <v>88</v>
      </c>
      <c r="B37" s="89"/>
      <c r="C37" s="90"/>
      <c r="D37" s="85">
        <v>1</v>
      </c>
      <c r="E37" s="86"/>
      <c r="F37" s="77"/>
      <c r="G37" s="78"/>
      <c r="H37" s="79"/>
      <c r="I37" s="80"/>
      <c r="J37" s="94" t="str">
        <f t="shared" si="1"/>
        <v/>
      </c>
      <c r="K37" s="96"/>
      <c r="L37" s="97">
        <v>1</v>
      </c>
      <c r="M37" s="93"/>
    </row>
    <row r="38" spans="1:13" x14ac:dyDescent="0.2">
      <c r="A38" s="9" t="s">
        <v>92</v>
      </c>
      <c r="B38" s="89"/>
      <c r="C38" s="90"/>
      <c r="D38" s="85"/>
      <c r="E38" s="86"/>
      <c r="F38" s="77">
        <v>1</v>
      </c>
      <c r="G38" s="78"/>
      <c r="H38" s="79"/>
      <c r="I38" s="80"/>
      <c r="J38" s="94">
        <f t="shared" si="1"/>
        <v>1</v>
      </c>
      <c r="K38" s="96"/>
      <c r="L38" s="97"/>
      <c r="M38" s="93"/>
    </row>
    <row r="39" spans="1:13" x14ac:dyDescent="0.2">
      <c r="A39" s="9" t="s">
        <v>95</v>
      </c>
      <c r="B39" s="89"/>
      <c r="C39" s="90"/>
      <c r="D39" s="85"/>
      <c r="E39" s="86"/>
      <c r="F39" s="77"/>
      <c r="G39" s="78">
        <v>1</v>
      </c>
      <c r="H39" s="79"/>
      <c r="I39" s="80"/>
      <c r="J39" s="94">
        <f t="shared" si="1"/>
        <v>1</v>
      </c>
      <c r="K39" s="96">
        <v>1</v>
      </c>
      <c r="L39" s="97"/>
      <c r="M39" s="93"/>
    </row>
    <row r="40" spans="1:13" x14ac:dyDescent="0.2">
      <c r="A40" s="9" t="s">
        <v>97</v>
      </c>
      <c r="B40" s="89"/>
      <c r="C40" s="90"/>
      <c r="D40" s="85"/>
      <c r="E40" s="86"/>
      <c r="F40" s="77">
        <v>1</v>
      </c>
      <c r="G40" s="78"/>
      <c r="H40" s="79"/>
      <c r="I40" s="80"/>
      <c r="J40" s="94">
        <f t="shared" si="1"/>
        <v>1</v>
      </c>
      <c r="K40" s="96"/>
      <c r="L40" s="97"/>
      <c r="M40" s="93"/>
    </row>
    <row r="41" spans="1:13" x14ac:dyDescent="0.2">
      <c r="A41" s="9" t="s">
        <v>100</v>
      </c>
      <c r="B41" s="89"/>
      <c r="C41" s="90"/>
      <c r="D41" s="85"/>
      <c r="E41" s="86"/>
      <c r="F41" s="77">
        <v>1</v>
      </c>
      <c r="G41" s="78"/>
      <c r="H41" s="79"/>
      <c r="I41" s="80"/>
      <c r="J41" s="94">
        <f t="shared" si="1"/>
        <v>1</v>
      </c>
      <c r="K41" s="96"/>
      <c r="L41" s="97"/>
      <c r="M41" s="93"/>
    </row>
    <row r="42" spans="1:13" x14ac:dyDescent="0.2">
      <c r="A42" s="9" t="s">
        <v>59</v>
      </c>
      <c r="B42" s="89"/>
      <c r="C42" s="90"/>
      <c r="D42" s="85">
        <v>1</v>
      </c>
      <c r="E42" s="86"/>
      <c r="F42" s="77"/>
      <c r="G42" s="78"/>
      <c r="H42" s="79"/>
      <c r="I42" s="80"/>
      <c r="J42" s="94" t="str">
        <f t="shared" si="1"/>
        <v/>
      </c>
      <c r="K42" s="96"/>
      <c r="L42" s="97">
        <v>1</v>
      </c>
      <c r="M42" s="93"/>
    </row>
    <row r="43" spans="1:13" x14ac:dyDescent="0.2">
      <c r="A43" s="9" t="s">
        <v>103</v>
      </c>
      <c r="B43" s="89"/>
      <c r="C43" s="90"/>
      <c r="D43" s="85"/>
      <c r="E43" s="86"/>
      <c r="F43" s="77"/>
      <c r="G43" s="78"/>
      <c r="H43" s="79">
        <v>1</v>
      </c>
      <c r="I43" s="80"/>
      <c r="J43" s="94">
        <f t="shared" si="1"/>
        <v>1</v>
      </c>
      <c r="K43" s="96"/>
      <c r="L43" s="97"/>
      <c r="M43" s="93"/>
    </row>
    <row r="44" spans="1:13" x14ac:dyDescent="0.2">
      <c r="A44" s="2" t="s">
        <v>82</v>
      </c>
      <c r="B44" s="89"/>
      <c r="C44" s="90">
        <v>1</v>
      </c>
      <c r="D44" s="85"/>
      <c r="E44" s="86"/>
      <c r="F44" s="77"/>
      <c r="G44" s="78">
        <v>1</v>
      </c>
      <c r="H44" s="79"/>
      <c r="I44" s="80"/>
      <c r="J44" s="94">
        <f t="shared" si="1"/>
        <v>1</v>
      </c>
      <c r="K44" s="96">
        <v>1</v>
      </c>
      <c r="L44" s="97"/>
      <c r="M44" s="93" t="s">
        <v>320</v>
      </c>
    </row>
    <row r="45" spans="1:13" x14ac:dyDescent="0.2">
      <c r="A45" s="2" t="s">
        <v>109</v>
      </c>
      <c r="B45" s="89"/>
      <c r="C45" s="90"/>
      <c r="D45" s="85">
        <v>1</v>
      </c>
      <c r="E45" s="86"/>
      <c r="F45" s="77"/>
      <c r="G45" s="78"/>
      <c r="H45" s="79"/>
      <c r="I45" s="80"/>
      <c r="J45" s="94" t="str">
        <f t="shared" si="1"/>
        <v/>
      </c>
      <c r="K45" s="96"/>
      <c r="L45" s="97">
        <v>1</v>
      </c>
      <c r="M45" s="93"/>
    </row>
    <row r="46" spans="1:13" x14ac:dyDescent="0.2">
      <c r="A46" s="2" t="s">
        <v>117</v>
      </c>
      <c r="B46" s="89"/>
      <c r="C46" s="90"/>
      <c r="D46" s="85">
        <v>1</v>
      </c>
      <c r="E46" s="86"/>
      <c r="F46" s="77"/>
      <c r="G46" s="78"/>
      <c r="H46" s="79"/>
      <c r="I46" s="80"/>
      <c r="J46" s="94" t="str">
        <f t="shared" si="1"/>
        <v/>
      </c>
      <c r="K46" s="96"/>
      <c r="L46" s="97"/>
      <c r="M46" s="93"/>
    </row>
    <row r="47" spans="1:13" x14ac:dyDescent="0.2">
      <c r="A47" s="2" t="s">
        <v>119</v>
      </c>
      <c r="B47" s="89"/>
      <c r="C47" s="90"/>
      <c r="D47" s="85"/>
      <c r="E47" s="86"/>
      <c r="F47" s="77"/>
      <c r="G47" s="78">
        <v>1</v>
      </c>
      <c r="H47" s="79"/>
      <c r="I47" s="80"/>
      <c r="J47" s="94">
        <f t="shared" si="1"/>
        <v>1</v>
      </c>
      <c r="K47" s="96">
        <v>1</v>
      </c>
      <c r="L47" s="97"/>
      <c r="M47" s="93"/>
    </row>
    <row r="48" spans="1:13" x14ac:dyDescent="0.2">
      <c r="A48" s="2" t="s">
        <v>123</v>
      </c>
      <c r="B48" s="89"/>
      <c r="C48" s="90">
        <v>1</v>
      </c>
      <c r="D48" s="85"/>
      <c r="E48" s="86"/>
      <c r="F48" s="77"/>
      <c r="G48" s="78">
        <v>1</v>
      </c>
      <c r="H48" s="79"/>
      <c r="I48" s="80"/>
      <c r="J48" s="94">
        <f t="shared" si="1"/>
        <v>1</v>
      </c>
      <c r="K48" s="96">
        <v>1</v>
      </c>
      <c r="L48" s="97"/>
      <c r="M48" s="93"/>
    </row>
    <row r="49" spans="1:13" x14ac:dyDescent="0.2">
      <c r="A49" s="2" t="s">
        <v>326</v>
      </c>
      <c r="B49" s="89"/>
      <c r="C49" s="90"/>
      <c r="D49" s="85"/>
      <c r="E49" s="86"/>
      <c r="F49" s="77"/>
      <c r="G49" s="78">
        <v>1</v>
      </c>
      <c r="H49" s="79"/>
      <c r="I49" s="80"/>
      <c r="J49" s="94">
        <f t="shared" si="1"/>
        <v>1</v>
      </c>
      <c r="K49" s="96">
        <v>1</v>
      </c>
      <c r="L49" s="97"/>
      <c r="M49" s="93"/>
    </row>
    <row r="50" spans="1:13" x14ac:dyDescent="0.2">
      <c r="A50" s="49" t="s">
        <v>125</v>
      </c>
      <c r="B50" s="89"/>
      <c r="C50" s="90"/>
      <c r="D50" s="85">
        <v>1</v>
      </c>
      <c r="E50" s="86"/>
      <c r="F50" s="77"/>
      <c r="G50" s="78"/>
      <c r="H50" s="79"/>
      <c r="I50" s="80"/>
      <c r="J50" s="94" t="str">
        <f t="shared" si="1"/>
        <v/>
      </c>
      <c r="K50" s="96"/>
      <c r="L50" s="97"/>
      <c r="M50" s="93"/>
    </row>
    <row r="51" spans="1:13" x14ac:dyDescent="0.2">
      <c r="A51" s="68" t="s">
        <v>114</v>
      </c>
      <c r="B51" s="89"/>
      <c r="C51" s="90"/>
      <c r="D51" s="85"/>
      <c r="E51" s="86">
        <v>1</v>
      </c>
      <c r="F51" s="77"/>
      <c r="G51" s="78"/>
      <c r="H51" s="79"/>
      <c r="I51" s="80"/>
      <c r="J51" s="94" t="str">
        <f t="shared" si="1"/>
        <v/>
      </c>
      <c r="K51" s="96"/>
      <c r="L51" s="97"/>
      <c r="M51" s="93"/>
    </row>
    <row r="52" spans="1:13" x14ac:dyDescent="0.2">
      <c r="A52" s="9" t="s">
        <v>80</v>
      </c>
      <c r="B52" s="89"/>
      <c r="C52" s="90"/>
      <c r="D52" s="85"/>
      <c r="E52" s="86">
        <v>1</v>
      </c>
      <c r="F52" s="77"/>
      <c r="G52" s="78"/>
      <c r="H52" s="79"/>
      <c r="I52" s="80"/>
      <c r="J52" s="94" t="str">
        <f t="shared" si="1"/>
        <v/>
      </c>
      <c r="K52" s="96"/>
      <c r="L52" s="97"/>
      <c r="M52" s="93"/>
    </row>
    <row r="53" spans="1:13" x14ac:dyDescent="0.2">
      <c r="A53" s="9" t="s">
        <v>90</v>
      </c>
      <c r="B53" s="89"/>
      <c r="C53" s="90"/>
      <c r="D53" s="85"/>
      <c r="E53" s="86">
        <v>1</v>
      </c>
      <c r="F53" s="77"/>
      <c r="G53" s="78"/>
      <c r="H53" s="79"/>
      <c r="I53" s="80"/>
      <c r="J53" s="94" t="str">
        <f t="shared" si="1"/>
        <v/>
      </c>
      <c r="K53" s="96"/>
      <c r="L53" s="97"/>
      <c r="M53" s="93"/>
    </row>
    <row r="54" spans="1:13" x14ac:dyDescent="0.2">
      <c r="A54" s="9" t="s">
        <v>41</v>
      </c>
      <c r="B54" s="89"/>
      <c r="C54" s="90"/>
      <c r="D54" s="85"/>
      <c r="E54" s="86">
        <v>1</v>
      </c>
      <c r="F54" s="77"/>
      <c r="G54" s="78"/>
      <c r="H54" s="79"/>
      <c r="I54" s="80"/>
      <c r="J54" s="94" t="str">
        <f t="shared" si="1"/>
        <v/>
      </c>
      <c r="K54" s="96"/>
      <c r="L54" s="97"/>
      <c r="M54" s="93"/>
    </row>
    <row r="55" spans="1:13" x14ac:dyDescent="0.2">
      <c r="A55" s="36" t="s">
        <v>32</v>
      </c>
      <c r="B55" s="89"/>
      <c r="C55" s="90"/>
      <c r="D55" s="85"/>
      <c r="E55" s="86">
        <v>1</v>
      </c>
      <c r="F55" s="77"/>
      <c r="G55" s="78"/>
      <c r="H55" s="79"/>
      <c r="I55" s="80"/>
      <c r="J55" s="94" t="str">
        <f t="shared" si="1"/>
        <v/>
      </c>
      <c r="K55" s="96"/>
      <c r="L55" s="97"/>
      <c r="M55" s="93"/>
    </row>
    <row r="56" spans="1:13" x14ac:dyDescent="0.2">
      <c r="A56" s="9" t="s">
        <v>34</v>
      </c>
      <c r="B56" s="89"/>
      <c r="C56" s="90"/>
      <c r="D56" s="85"/>
      <c r="E56" s="86">
        <v>1</v>
      </c>
      <c r="F56" s="77"/>
      <c r="G56" s="78"/>
      <c r="H56" s="79"/>
      <c r="I56" s="80"/>
      <c r="J56" s="94" t="str">
        <f t="shared" si="1"/>
        <v/>
      </c>
      <c r="K56" s="96"/>
      <c r="L56" s="97"/>
      <c r="M56" s="93"/>
    </row>
    <row r="57" spans="1:13" x14ac:dyDescent="0.2">
      <c r="A57" s="36" t="s">
        <v>61</v>
      </c>
      <c r="B57" s="89"/>
      <c r="C57" s="90"/>
      <c r="D57" s="85"/>
      <c r="E57" s="86">
        <v>1</v>
      </c>
      <c r="F57" s="77"/>
      <c r="G57" s="78"/>
      <c r="H57" s="79"/>
      <c r="I57" s="80"/>
      <c r="J57" s="94" t="str">
        <f t="shared" si="1"/>
        <v/>
      </c>
      <c r="K57" s="96"/>
      <c r="L57" s="97"/>
      <c r="M57" s="93"/>
    </row>
    <row r="58" spans="1:13" x14ac:dyDescent="0.2">
      <c r="A58" s="52" t="s">
        <v>39</v>
      </c>
      <c r="B58" s="89"/>
      <c r="C58" s="90"/>
      <c r="D58" s="85"/>
      <c r="E58" s="86">
        <v>1</v>
      </c>
      <c r="F58" s="77"/>
      <c r="G58" s="78"/>
      <c r="H58" s="79"/>
      <c r="I58" s="80"/>
      <c r="J58" s="94" t="str">
        <f t="shared" si="1"/>
        <v/>
      </c>
      <c r="K58" s="96"/>
      <c r="L58" s="97"/>
      <c r="M58" s="93"/>
    </row>
    <row r="59" spans="1:13" x14ac:dyDescent="0.2">
      <c r="A59" s="69" t="s">
        <v>127</v>
      </c>
      <c r="B59" s="89"/>
      <c r="C59" s="90"/>
      <c r="D59" s="85"/>
      <c r="E59" s="86">
        <v>1</v>
      </c>
      <c r="F59" s="77"/>
      <c r="G59" s="78"/>
      <c r="H59" s="79"/>
      <c r="I59" s="80"/>
      <c r="J59" s="94" t="str">
        <f t="shared" si="1"/>
        <v/>
      </c>
      <c r="K59" s="96"/>
      <c r="L59" s="97"/>
      <c r="M59" s="93"/>
    </row>
    <row r="60" spans="1:13" x14ac:dyDescent="0.2">
      <c r="A60" s="36" t="s">
        <v>129</v>
      </c>
      <c r="B60" s="89"/>
      <c r="C60" s="90"/>
      <c r="D60" s="85"/>
      <c r="E60" s="86">
        <v>1</v>
      </c>
      <c r="F60" s="77"/>
      <c r="G60" s="78"/>
      <c r="H60" s="79"/>
      <c r="I60" s="80"/>
      <c r="J60" s="94" t="str">
        <f t="shared" si="1"/>
        <v/>
      </c>
      <c r="K60" s="96"/>
      <c r="L60" s="97"/>
      <c r="M60" s="93"/>
    </row>
    <row r="61" spans="1:13" x14ac:dyDescent="0.2">
      <c r="A61" s="9" t="s">
        <v>131</v>
      </c>
      <c r="B61" s="89"/>
      <c r="C61" s="90"/>
      <c r="D61" s="85"/>
      <c r="E61" s="86">
        <v>1</v>
      </c>
      <c r="F61" s="77"/>
      <c r="G61" s="78"/>
      <c r="H61" s="79"/>
      <c r="I61" s="80"/>
      <c r="J61" s="94" t="str">
        <f t="shared" si="1"/>
        <v/>
      </c>
      <c r="K61" s="96"/>
      <c r="L61" s="97"/>
      <c r="M61" s="93"/>
    </row>
    <row r="62" spans="1:13" x14ac:dyDescent="0.2">
      <c r="A62" s="9" t="s">
        <v>133</v>
      </c>
      <c r="B62" s="89"/>
      <c r="C62" s="90"/>
      <c r="D62" s="85"/>
      <c r="E62" s="86">
        <v>1</v>
      </c>
      <c r="F62" s="77"/>
      <c r="G62" s="78"/>
      <c r="H62" s="79"/>
      <c r="I62" s="80"/>
      <c r="J62" s="94" t="str">
        <f t="shared" si="1"/>
        <v/>
      </c>
      <c r="K62" s="96"/>
      <c r="L62" s="97"/>
      <c r="M62" s="93"/>
    </row>
    <row r="63" spans="1:13" x14ac:dyDescent="0.2">
      <c r="A63" s="36" t="s">
        <v>106</v>
      </c>
      <c r="B63" s="89"/>
      <c r="C63" s="90"/>
      <c r="D63" s="85"/>
      <c r="E63" s="86">
        <v>1</v>
      </c>
      <c r="F63" s="77"/>
      <c r="G63" s="78"/>
      <c r="H63" s="79"/>
      <c r="I63" s="80"/>
      <c r="J63" s="94" t="str">
        <f t="shared" si="1"/>
        <v/>
      </c>
      <c r="K63" s="96"/>
      <c r="L63" s="97"/>
      <c r="M63" s="93"/>
    </row>
    <row r="64" spans="1:13" x14ac:dyDescent="0.2">
      <c r="A64" s="9" t="s">
        <v>135</v>
      </c>
      <c r="B64" s="89"/>
      <c r="C64" s="90"/>
      <c r="D64" s="85"/>
      <c r="E64" s="86">
        <v>1</v>
      </c>
      <c r="F64" s="77"/>
      <c r="G64" s="78"/>
      <c r="H64" s="79"/>
      <c r="I64" s="80"/>
      <c r="J64" s="94" t="str">
        <f t="shared" si="1"/>
        <v/>
      </c>
      <c r="K64" s="96"/>
      <c r="L64" s="97"/>
      <c r="M64" s="93"/>
    </row>
    <row r="65" spans="1:13" ht="16" thickBot="1" x14ac:dyDescent="0.25">
      <c r="A65" s="9" t="s">
        <v>137</v>
      </c>
      <c r="B65" s="91"/>
      <c r="C65" s="92"/>
      <c r="D65" s="87"/>
      <c r="E65" s="88">
        <v>1</v>
      </c>
      <c r="F65" s="81"/>
      <c r="G65" s="82"/>
      <c r="H65" s="83"/>
      <c r="I65" s="84"/>
      <c r="J65" s="95" t="str">
        <f t="shared" si="1"/>
        <v/>
      </c>
      <c r="K65" s="98"/>
      <c r="L65" s="99"/>
      <c r="M65" s="93"/>
    </row>
  </sheetData>
  <autoFilter ref="A4:M65" xr:uid="{49E4E407-C83A-4096-9EC0-3564C2AE3095}"/>
  <conditionalFormatting sqref="A4:A65">
    <cfRule type="notContainsBlanks" dxfId="6" priority="4">
      <formula>LEN(TRIM(A4))&gt;0</formula>
    </cfRule>
  </conditionalFormatting>
  <conditionalFormatting sqref="A5:A65">
    <cfRule type="expression" dxfId="5" priority="3">
      <formula>COUNTIF(#REF!,"Pause")&gt;0</formula>
    </cfRule>
  </conditionalFormatting>
  <conditionalFormatting sqref="A3:J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F3A39-00EF-4E71-A37D-BC8B16C5914F}">
  <sheetPr codeName="Sheet3">
    <tabColor rgb="FFFF0000"/>
  </sheetPr>
  <dimension ref="A1:R31"/>
  <sheetViews>
    <sheetView showGridLines="0" workbookViewId="0">
      <selection activeCell="U32" sqref="U32"/>
    </sheetView>
  </sheetViews>
  <sheetFormatPr baseColWidth="10" defaultColWidth="8.83203125" defaultRowHeight="15" x14ac:dyDescent="0.2"/>
  <cols>
    <col min="1" max="1" width="13.83203125" bestFit="1" customWidth="1"/>
    <col min="2" max="2" width="18.5" bestFit="1" customWidth="1"/>
    <col min="3" max="3" width="7.1640625" style="3" hidden="1" customWidth="1"/>
    <col min="4" max="4" width="7.5" style="3" bestFit="1" customWidth="1"/>
    <col min="5" max="5" width="5.1640625" style="3" bestFit="1" customWidth="1"/>
    <col min="6" max="6" width="9.6640625" style="3" hidden="1" customWidth="1"/>
    <col min="7" max="7" width="10.83203125" style="3" bestFit="1" customWidth="1"/>
    <col min="8" max="13" width="3.6640625" style="3" bestFit="1" customWidth="1"/>
    <col min="14" max="18" width="2" style="3" bestFit="1" customWidth="1"/>
  </cols>
  <sheetData>
    <row r="1" spans="1:18" ht="21" x14ac:dyDescent="0.25">
      <c r="A1" s="47" t="s">
        <v>140</v>
      </c>
      <c r="B1" s="42">
        <f ca="1">COUNTA(B3:B28)</f>
        <v>26</v>
      </c>
      <c r="D1" s="45">
        <f>COUNTIF(A3:A27,"Watch/Remove")</f>
        <v>0</v>
      </c>
      <c r="E1" s="44">
        <f>COUNTIF(A3:A27,"Watch")</f>
        <v>2</v>
      </c>
      <c r="G1" s="70">
        <f>D1+E1</f>
        <v>2</v>
      </c>
    </row>
    <row r="2" spans="1:18" x14ac:dyDescent="0.2">
      <c r="A2" s="43" t="s">
        <v>141</v>
      </c>
      <c r="B2" s="40" t="str" cm="1">
        <f t="array" ref="B2:E2">_xlfn.CHOOSECOLS(_xlfn.VSTACK(Registered!A2:O2),3,10,12,13)</f>
        <v>Name</v>
      </c>
      <c r="C2" s="41" t="str">
        <v>Vintage</v>
      </c>
      <c r="D2" s="41" t="str">
        <v>Month#</v>
      </c>
      <c r="E2" s="41" t="str">
        <v>Day#</v>
      </c>
      <c r="F2" s="41" t="s">
        <v>142</v>
      </c>
      <c r="G2" s="41" t="s">
        <v>143</v>
      </c>
    </row>
    <row r="3" spans="1:18" x14ac:dyDescent="0.2">
      <c r="B3" t="str" cm="1">
        <f t="array" aca="1" ref="B3:E31" ca="1">_xlfn.CHOOSECOLS(_xlfn._xlws.SORT(_xlfn.VSTACK(_xlfn._xlws.FILTER(Registered!A3:O207,Registered!N3:N207="Alert")),13,-1),3,10,12,13)</f>
        <v>Sayali Gaikwad</v>
      </c>
      <c r="C3" s="3">
        <f ca="1"/>
        <v>539</v>
      </c>
      <c r="D3" s="3">
        <f ca="1"/>
        <v>17</v>
      </c>
      <c r="E3" s="3">
        <f ca="1"/>
        <v>29</v>
      </c>
      <c r="F3" s="3">
        <f ca="1">IF(B3="","",COUNTIF(_xlfn.ANCHORARRAY(H3),"Yes"))</f>
        <v>2</v>
      </c>
      <c r="G3" s="3">
        <f ca="1">IF(B3="","",(D3-F3+1))</f>
        <v>16</v>
      </c>
      <c r="H3" s="48" t="str" cm="1">
        <f t="array" aca="1" ref="H3:R3" ca="1">IF(B3="","",_xlfn.CHOOSECOLS(_xlfn.CHOOSEROWS(Registered!$C$14:$Z$207,MATCH('Alert List'!B3,Registered!$C$14:$C$207,0)),14,15,16,17,18,19,20,21,22,23,24))</f>
        <v>Yes</v>
      </c>
      <c r="I3" s="48" t="str">
        <f ca="1"/>
        <v>Yes</v>
      </c>
      <c r="J3" s="48">
        <f ca="1"/>
        <v>0</v>
      </c>
      <c r="K3" s="48">
        <f ca="1"/>
        <v>0</v>
      </c>
      <c r="L3" s="48">
        <f ca="1"/>
        <v>0</v>
      </c>
      <c r="M3" s="48">
        <f ca="1"/>
        <v>0</v>
      </c>
      <c r="N3" s="48">
        <f ca="1"/>
        <v>0</v>
      </c>
      <c r="O3" s="48">
        <f ca="1"/>
        <v>0</v>
      </c>
      <c r="P3" s="48">
        <f ca="1"/>
        <v>0</v>
      </c>
      <c r="Q3" s="48">
        <f ca="1"/>
        <v>0</v>
      </c>
      <c r="R3" s="48">
        <f ca="1"/>
        <v>0</v>
      </c>
    </row>
    <row r="4" spans="1:18" x14ac:dyDescent="0.2">
      <c r="A4" t="s">
        <v>309</v>
      </c>
      <c r="B4" t="str">
        <f ca="1"/>
        <v>Sagar G</v>
      </c>
      <c r="C4" s="3">
        <f ca="1"/>
        <v>689</v>
      </c>
      <c r="D4" s="3">
        <f ca="1"/>
        <v>22</v>
      </c>
      <c r="E4" s="3">
        <f ca="1"/>
        <v>29</v>
      </c>
      <c r="F4" s="3">
        <f t="shared" ref="F4:F30" ca="1" si="0">IF(B4="","",COUNTIF(_xlfn.ANCHORARRAY(H4),"Yes"))</f>
        <v>8</v>
      </c>
      <c r="G4" s="3">
        <f t="shared" ref="G4:G30" ca="1" si="1">IF(B4="","",(D4-F4+1))</f>
        <v>15</v>
      </c>
      <c r="H4" s="48" t="str" cm="1">
        <f t="array" aca="1" ref="H4:R4" ca="1">IF(B4="","",_xlfn.CHOOSECOLS(_xlfn.CHOOSEROWS(Registered!$C$14:$Z$207,MATCH('Alert List'!B4,Registered!$C$14:$C$207,0)),14,15,16,17,18,19,20,21,22,23,24))</f>
        <v>Yes</v>
      </c>
      <c r="I4" s="48" t="str">
        <f ca="1"/>
        <v>Yes</v>
      </c>
      <c r="J4" s="48" t="str">
        <f ca="1"/>
        <v>Yes</v>
      </c>
      <c r="K4" s="48" t="str">
        <f ca="1"/>
        <v>Yes</v>
      </c>
      <c r="L4" s="48" t="str">
        <f ca="1"/>
        <v>Yes</v>
      </c>
      <c r="M4" s="48" t="str">
        <f ca="1"/>
        <v>Yes</v>
      </c>
      <c r="N4" s="48" t="str">
        <f ca="1"/>
        <v>Yes</v>
      </c>
      <c r="O4" s="48" t="str">
        <f ca="1"/>
        <v>Yes</v>
      </c>
      <c r="P4" s="48">
        <f ca="1"/>
        <v>0</v>
      </c>
      <c r="Q4" s="48">
        <f ca="1"/>
        <v>0</v>
      </c>
      <c r="R4" s="48">
        <f ca="1"/>
        <v>0</v>
      </c>
    </row>
    <row r="5" spans="1:18" x14ac:dyDescent="0.2">
      <c r="A5" t="s">
        <v>309</v>
      </c>
      <c r="B5" t="str">
        <f ca="1"/>
        <v>Shrishti Singh</v>
      </c>
      <c r="C5" s="3">
        <f ca="1"/>
        <v>448</v>
      </c>
      <c r="D5" s="3">
        <f ca="1"/>
        <v>14</v>
      </c>
      <c r="E5" s="3">
        <f ca="1"/>
        <v>28</v>
      </c>
      <c r="F5" s="3">
        <f t="shared" ca="1" si="0"/>
        <v>1</v>
      </c>
      <c r="G5" s="3">
        <f t="shared" ca="1" si="1"/>
        <v>14</v>
      </c>
      <c r="H5" s="48" t="str" cm="1">
        <f t="array" aca="1" ref="H5:R5" ca="1">IF(B5="","",_xlfn.CHOOSECOLS(_xlfn.CHOOSEROWS(Registered!$C$14:$Z$207,MATCH('Alert List'!B5,Registered!$C$14:$C$207,0)),14,15,16,17,18,19,20,21,22,23,24))</f>
        <v>Yes</v>
      </c>
      <c r="I5" s="48">
        <f ca="1"/>
        <v>0</v>
      </c>
      <c r="J5" s="48">
        <f ca="1"/>
        <v>0</v>
      </c>
      <c r="K5" s="48">
        <f ca="1"/>
        <v>0</v>
      </c>
      <c r="L5" s="48">
        <f ca="1"/>
        <v>0</v>
      </c>
      <c r="M5" s="48">
        <f ca="1"/>
        <v>0</v>
      </c>
      <c r="N5" s="48">
        <f ca="1"/>
        <v>0</v>
      </c>
      <c r="O5" s="48">
        <f ca="1"/>
        <v>0</v>
      </c>
      <c r="P5" s="48">
        <f ca="1"/>
        <v>0</v>
      </c>
      <c r="Q5" s="48">
        <f ca="1"/>
        <v>0</v>
      </c>
      <c r="R5" s="48">
        <f ca="1"/>
        <v>0</v>
      </c>
    </row>
    <row r="6" spans="1:18" x14ac:dyDescent="0.2">
      <c r="B6" t="str">
        <f ca="1"/>
        <v>Ankita Rahate</v>
      </c>
      <c r="C6" s="3">
        <f ca="1"/>
        <v>504</v>
      </c>
      <c r="D6" s="3">
        <f ca="1"/>
        <v>16</v>
      </c>
      <c r="E6" s="3">
        <f ca="1"/>
        <v>24</v>
      </c>
      <c r="F6" s="3">
        <f t="shared" ca="1" si="0"/>
        <v>1</v>
      </c>
      <c r="G6" s="3">
        <f t="shared" ca="1" si="1"/>
        <v>16</v>
      </c>
      <c r="H6" s="48" t="str" cm="1">
        <f t="array" aca="1" ref="H6:R6" ca="1">IF(B6="","",_xlfn.CHOOSECOLS(_xlfn.CHOOSEROWS(Registered!$C$14:$Z$207,MATCH('Alert List'!B6,Registered!$C$14:$C$207,0)),14,15,16,17,18,19,20,21,22,23,24))</f>
        <v>Yes</v>
      </c>
      <c r="I6" s="48">
        <f ca="1"/>
        <v>0</v>
      </c>
      <c r="J6" s="48">
        <f ca="1"/>
        <v>0</v>
      </c>
      <c r="K6" s="48">
        <f ca="1"/>
        <v>0</v>
      </c>
      <c r="L6" s="48">
        <f ca="1"/>
        <v>0</v>
      </c>
      <c r="M6" s="48">
        <f ca="1"/>
        <v>0</v>
      </c>
      <c r="N6" s="48">
        <f ca="1"/>
        <v>0</v>
      </c>
      <c r="O6" s="48">
        <f ca="1"/>
        <v>0</v>
      </c>
      <c r="P6" s="48">
        <f ca="1"/>
        <v>0</v>
      </c>
      <c r="Q6" s="48">
        <f ca="1"/>
        <v>0</v>
      </c>
      <c r="R6" s="48">
        <f ca="1"/>
        <v>0</v>
      </c>
    </row>
    <row r="7" spans="1:18" x14ac:dyDescent="0.2">
      <c r="B7" t="str">
        <f ca="1"/>
        <v>Ravinder Rawal</v>
      </c>
      <c r="C7" s="3">
        <f ca="1"/>
        <v>503</v>
      </c>
      <c r="D7" s="3">
        <f ca="1"/>
        <v>16</v>
      </c>
      <c r="E7" s="3">
        <f ca="1"/>
        <v>23</v>
      </c>
      <c r="F7" s="3">
        <f t="shared" ca="1" si="0"/>
        <v>0</v>
      </c>
      <c r="G7" s="3">
        <f t="shared" ca="1" si="1"/>
        <v>17</v>
      </c>
      <c r="H7" s="48" t="e" cm="1">
        <f t="array" aca="1" ref="H7" ca="1">IF(B7="","",_xlfn.CHOOSECOLS(_xlfn.CHOOSEROWS(Registered!$C$14:$Z$207,MATCH('Alert List'!B7,Registered!$C$14:$C$207,0)),14,15,16,17,18,19,20,21,22,23,24))</f>
        <v>#N/A</v>
      </c>
      <c r="I7" s="48"/>
      <c r="J7" s="48"/>
      <c r="K7" s="48"/>
      <c r="L7" s="48"/>
      <c r="M7" s="48"/>
      <c r="N7" s="48"/>
      <c r="O7" s="48"/>
      <c r="P7" s="48"/>
      <c r="Q7" s="48"/>
      <c r="R7" s="48"/>
    </row>
    <row r="8" spans="1:18" x14ac:dyDescent="0.2">
      <c r="B8" t="str">
        <f ca="1"/>
        <v>Devesh Chauhan</v>
      </c>
      <c r="C8" s="3">
        <f ca="1"/>
        <v>503</v>
      </c>
      <c r="D8" s="3">
        <f ca="1"/>
        <v>16</v>
      </c>
      <c r="E8" s="3">
        <f ca="1"/>
        <v>23</v>
      </c>
      <c r="F8" s="3">
        <f t="shared" ca="1" si="0"/>
        <v>0</v>
      </c>
      <c r="G8" s="3">
        <f t="shared" ca="1" si="1"/>
        <v>17</v>
      </c>
      <c r="H8" s="48" t="e" cm="1">
        <f t="array" aca="1" ref="H8" ca="1">IF(B8="","",_xlfn.CHOOSECOLS(_xlfn.CHOOSEROWS(Registered!$C$14:$Z$207,MATCH('Alert List'!B8,Registered!$C$14:$C$207,0)),14,15,16,17,18,19,20,21,22,23,24))</f>
        <v>#N/A</v>
      </c>
      <c r="I8" s="48"/>
      <c r="J8" s="48"/>
      <c r="K8" s="48"/>
      <c r="L8" s="48"/>
      <c r="M8" s="48"/>
      <c r="N8" s="48"/>
      <c r="O8" s="48"/>
      <c r="P8" s="48"/>
      <c r="Q8" s="48"/>
      <c r="R8" s="48"/>
    </row>
    <row r="9" spans="1:18" x14ac:dyDescent="0.2">
      <c r="B9" t="str">
        <f ca="1"/>
        <v>Sakshi Pandey</v>
      </c>
      <c r="C9" s="3">
        <f ca="1"/>
        <v>503</v>
      </c>
      <c r="D9" s="3">
        <f ca="1"/>
        <v>16</v>
      </c>
      <c r="E9" s="3">
        <f ca="1"/>
        <v>23</v>
      </c>
      <c r="F9" s="3">
        <f t="shared" ca="1" si="0"/>
        <v>0</v>
      </c>
      <c r="G9" s="3">
        <f t="shared" ca="1" si="1"/>
        <v>17</v>
      </c>
      <c r="H9" s="48" t="e" cm="1">
        <f t="array" aca="1" ref="H9" ca="1">IF(B9="","",_xlfn.CHOOSECOLS(_xlfn.CHOOSEROWS(Registered!$C$14:$Z$207,MATCH('Alert List'!B9,Registered!$C$14:$C$207,0)),14,15,16,17,18,19,20,21,22,23,24))</f>
        <v>#N/A</v>
      </c>
      <c r="I9" s="48"/>
      <c r="J9" s="48"/>
      <c r="K9" s="48"/>
      <c r="L9" s="48"/>
      <c r="M9" s="48"/>
      <c r="N9" s="48"/>
      <c r="O9" s="48"/>
      <c r="P9" s="48"/>
      <c r="Q9" s="48"/>
      <c r="R9" s="48"/>
    </row>
    <row r="10" spans="1:18" x14ac:dyDescent="0.2">
      <c r="B10" t="str">
        <f ca="1"/>
        <v>Monty Singh</v>
      </c>
      <c r="C10" s="3">
        <f ca="1"/>
        <v>503</v>
      </c>
      <c r="D10" s="3">
        <f ca="1"/>
        <v>16</v>
      </c>
      <c r="E10" s="3">
        <f ca="1"/>
        <v>23</v>
      </c>
      <c r="F10" s="3">
        <f t="shared" ca="1" si="0"/>
        <v>0</v>
      </c>
      <c r="G10" s="3">
        <f t="shared" ca="1" si="1"/>
        <v>17</v>
      </c>
      <c r="H10" s="48" t="e" cm="1">
        <f t="array" aca="1" ref="H10" ca="1">IF(B10="","",_xlfn.CHOOSECOLS(_xlfn.CHOOSEROWS(Registered!$C$14:$Z$207,MATCH('Alert List'!B10,Registered!$C$14:$C$207,0)),14,15,16,17,18,19,20,21,22,23,24))</f>
        <v>#N/A</v>
      </c>
      <c r="I10" s="48"/>
      <c r="J10" s="48"/>
      <c r="K10" s="48"/>
      <c r="L10" s="48"/>
      <c r="M10" s="48"/>
      <c r="N10" s="48"/>
      <c r="O10" s="48"/>
      <c r="P10" s="48"/>
      <c r="Q10" s="48"/>
      <c r="R10" s="48"/>
    </row>
    <row r="11" spans="1:18" x14ac:dyDescent="0.2">
      <c r="B11" t="str">
        <f ca="1"/>
        <v>Utkarsh Shah</v>
      </c>
      <c r="C11" s="3">
        <f ca="1"/>
        <v>503</v>
      </c>
      <c r="D11" s="3">
        <f ca="1"/>
        <v>16</v>
      </c>
      <c r="E11" s="3">
        <f ca="1"/>
        <v>23</v>
      </c>
      <c r="F11" s="3">
        <f t="shared" ca="1" si="0"/>
        <v>0</v>
      </c>
      <c r="G11" s="3">
        <f t="shared" ca="1" si="1"/>
        <v>17</v>
      </c>
      <c r="H11" s="48" t="e" cm="1">
        <f t="array" aca="1" ref="H11" ca="1">IF(B11="","",_xlfn.CHOOSECOLS(_xlfn.CHOOSEROWS(Registered!$C$14:$Z$207,MATCH('Alert List'!B11,Registered!$C$14:$C$207,0)),14,15,16,17,18,19,20,21,22,23,24))</f>
        <v>#N/A</v>
      </c>
      <c r="I11" s="48"/>
      <c r="J11" s="48"/>
      <c r="K11" s="48"/>
      <c r="L11" s="48"/>
      <c r="M11" s="48"/>
      <c r="N11" s="48"/>
      <c r="O11" s="48"/>
      <c r="P11" s="48"/>
      <c r="Q11" s="48"/>
      <c r="R11" s="48"/>
    </row>
    <row r="12" spans="1:18" x14ac:dyDescent="0.2">
      <c r="B12" t="str">
        <f ca="1"/>
        <v>Siddhesh</v>
      </c>
      <c r="C12" s="3">
        <f ca="1"/>
        <v>503</v>
      </c>
      <c r="D12" s="3">
        <f ca="1"/>
        <v>16</v>
      </c>
      <c r="E12" s="3">
        <f ca="1"/>
        <v>23</v>
      </c>
      <c r="F12" s="3">
        <f t="shared" ca="1" si="0"/>
        <v>0</v>
      </c>
      <c r="G12" s="3">
        <f t="shared" ca="1" si="1"/>
        <v>17</v>
      </c>
      <c r="H12" s="48" t="e" cm="1">
        <f t="array" aca="1" ref="H12" ca="1">IF(B12="","",_xlfn.CHOOSECOLS(_xlfn.CHOOSEROWS(Registered!$C$14:$Z$207,MATCH('Alert List'!B12,Registered!$C$14:$C$207,0)),14,15,16,17,18,19,20,21,22,23,24))</f>
        <v>#N/A</v>
      </c>
      <c r="I12" s="48"/>
      <c r="J12" s="48"/>
      <c r="K12" s="48"/>
      <c r="L12" s="48"/>
      <c r="M12" s="48"/>
      <c r="N12" s="48"/>
      <c r="O12" s="48"/>
      <c r="P12" s="48"/>
      <c r="Q12" s="48"/>
      <c r="R12" s="48"/>
    </row>
    <row r="13" spans="1:18" x14ac:dyDescent="0.2">
      <c r="B13" t="str">
        <f ca="1"/>
        <v>Abhay Sail</v>
      </c>
      <c r="C13" s="3">
        <f ca="1"/>
        <v>531</v>
      </c>
      <c r="D13" s="3">
        <f ca="1"/>
        <v>17</v>
      </c>
      <c r="E13" s="3">
        <f ca="1"/>
        <v>21</v>
      </c>
      <c r="F13" s="3">
        <f t="shared" ca="1" si="0"/>
        <v>1</v>
      </c>
      <c r="G13" s="3">
        <f t="shared" ca="1" si="1"/>
        <v>17</v>
      </c>
      <c r="H13" s="48" t="str" cm="1">
        <f t="array" aca="1" ref="H13:R13" ca="1">IF(B13="","",_xlfn.CHOOSECOLS(_xlfn.CHOOSEROWS(Registered!$C$14:$Z$207,MATCH('Alert List'!B13,Registered!$C$14:$C$207,0)),14,15,16,17,18,19,20,21,22,23,24))</f>
        <v>Yes</v>
      </c>
      <c r="I13" s="48">
        <f ca="1"/>
        <v>0</v>
      </c>
      <c r="J13" s="48">
        <f ca="1"/>
        <v>0</v>
      </c>
      <c r="K13" s="48">
        <f ca="1"/>
        <v>0</v>
      </c>
      <c r="L13" s="48">
        <f ca="1"/>
        <v>0</v>
      </c>
      <c r="M13" s="48">
        <f ca="1"/>
        <v>0</v>
      </c>
      <c r="N13" s="48">
        <f ca="1"/>
        <v>0</v>
      </c>
      <c r="O13" s="48">
        <f ca="1"/>
        <v>0</v>
      </c>
      <c r="P13" s="48">
        <f ca="1"/>
        <v>0</v>
      </c>
      <c r="Q13" s="48">
        <f ca="1"/>
        <v>0</v>
      </c>
      <c r="R13" s="48">
        <f ca="1"/>
        <v>0</v>
      </c>
    </row>
    <row r="14" spans="1:18" x14ac:dyDescent="0.2">
      <c r="B14" t="str">
        <f ca="1"/>
        <v>Sonam Anand</v>
      </c>
      <c r="C14" s="3">
        <f ca="1"/>
        <v>496</v>
      </c>
      <c r="D14" s="3">
        <f ca="1"/>
        <v>16</v>
      </c>
      <c r="E14" s="3">
        <f ca="1"/>
        <v>16</v>
      </c>
      <c r="F14" s="3">
        <f t="shared" ca="1" si="0"/>
        <v>0</v>
      </c>
      <c r="G14" s="3">
        <f t="shared" ca="1" si="1"/>
        <v>17</v>
      </c>
      <c r="H14" s="48" t="e" cm="1">
        <f t="array" aca="1" ref="H14" ca="1">IF(B14="","",_xlfn.CHOOSECOLS(_xlfn.CHOOSEROWS(Registered!$C$14:$Z$207,MATCH('Alert List'!B14,Registered!$C$14:$C$207,0)),14,15,16,17,18,19,20,21,22,23,24))</f>
        <v>#N/A</v>
      </c>
      <c r="I14" s="48"/>
      <c r="J14" s="48"/>
      <c r="K14" s="48"/>
      <c r="L14" s="48"/>
      <c r="M14" s="48"/>
      <c r="N14" s="48"/>
      <c r="O14" s="48"/>
      <c r="P14" s="48"/>
      <c r="Q14" s="48"/>
      <c r="R14" s="48"/>
    </row>
    <row r="15" spans="1:18" x14ac:dyDescent="0.2">
      <c r="B15" t="str">
        <f ca="1"/>
        <v>Sourangshu M</v>
      </c>
      <c r="C15" s="3">
        <f ca="1"/>
        <v>704</v>
      </c>
      <c r="D15" s="3">
        <f ca="1"/>
        <v>23</v>
      </c>
      <c r="E15" s="3">
        <f ca="1"/>
        <v>14</v>
      </c>
      <c r="F15" s="3">
        <f t="shared" ca="1" si="0"/>
        <v>8</v>
      </c>
      <c r="G15" s="3">
        <f t="shared" ca="1" si="1"/>
        <v>16</v>
      </c>
      <c r="H15" s="48" t="str" cm="1">
        <f t="array" aca="1" ref="H15:R15" ca="1">IF(B15="","",_xlfn.CHOOSECOLS(_xlfn.CHOOSEROWS(Registered!$C$14:$Z$207,MATCH('Alert List'!B15,Registered!$C$14:$C$207,0)),14,15,16,17,18,19,20,21,22,23,24))</f>
        <v>Yes</v>
      </c>
      <c r="I15" s="48" t="str">
        <f ca="1"/>
        <v>Yes</v>
      </c>
      <c r="J15" s="48" t="str">
        <f ca="1"/>
        <v>Yes</v>
      </c>
      <c r="K15" s="48" t="str">
        <f ca="1"/>
        <v>Yes</v>
      </c>
      <c r="L15" s="48" t="str">
        <f ca="1"/>
        <v>Yes</v>
      </c>
      <c r="M15" s="48" t="str">
        <f ca="1"/>
        <v>Yes</v>
      </c>
      <c r="N15" s="48" t="str">
        <f ca="1"/>
        <v>Yes</v>
      </c>
      <c r="O15" s="48" t="str">
        <f ca="1"/>
        <v>Yes</v>
      </c>
      <c r="P15" s="48">
        <f ca="1"/>
        <v>0</v>
      </c>
      <c r="Q15" s="48">
        <f ca="1"/>
        <v>0</v>
      </c>
      <c r="R15" s="48">
        <f ca="1"/>
        <v>0</v>
      </c>
    </row>
    <row r="16" spans="1:18" x14ac:dyDescent="0.2">
      <c r="B16" t="str">
        <f ca="1"/>
        <v>Shailendra K</v>
      </c>
      <c r="C16" s="3">
        <f ca="1"/>
        <v>704</v>
      </c>
      <c r="D16" s="3">
        <f ca="1"/>
        <v>23</v>
      </c>
      <c r="E16" s="3">
        <f ca="1"/>
        <v>14</v>
      </c>
      <c r="F16" s="3">
        <f t="shared" ca="1" si="0"/>
        <v>9</v>
      </c>
      <c r="G16" s="3">
        <f t="shared" ca="1" si="1"/>
        <v>15</v>
      </c>
      <c r="H16" s="48" t="str" cm="1">
        <f t="array" aca="1" ref="H16:R16" ca="1">IF(B16="","",_xlfn.CHOOSECOLS(_xlfn.CHOOSEROWS(Registered!$C$14:$Z$207,MATCH('Alert List'!B16,Registered!$C$14:$C$207,0)),14,15,16,17,18,19,20,21,22,23,24))</f>
        <v>Yes</v>
      </c>
      <c r="I16" s="48" t="str">
        <f ca="1"/>
        <v>Yes</v>
      </c>
      <c r="J16" s="48" t="str">
        <f ca="1"/>
        <v>Yes</v>
      </c>
      <c r="K16" s="48" t="str">
        <f ca="1"/>
        <v>Yes</v>
      </c>
      <c r="L16" s="48" t="str">
        <f ca="1"/>
        <v>Yes</v>
      </c>
      <c r="M16" s="48" t="str">
        <f ca="1"/>
        <v>Yes</v>
      </c>
      <c r="N16" s="48" t="str">
        <f ca="1"/>
        <v>Yes</v>
      </c>
      <c r="O16" s="48" t="str">
        <f ca="1"/>
        <v>Yes</v>
      </c>
      <c r="P16" s="48" t="str">
        <f ca="1"/>
        <v>Yes</v>
      </c>
      <c r="Q16" s="48">
        <f ca="1"/>
        <v>0</v>
      </c>
      <c r="R16" s="48">
        <f ca="1"/>
        <v>0</v>
      </c>
    </row>
    <row r="17" spans="2:18" x14ac:dyDescent="0.2">
      <c r="B17" t="str">
        <f ca="1"/>
        <v>Bikash Shaw</v>
      </c>
      <c r="C17" s="3">
        <f ca="1"/>
        <v>493</v>
      </c>
      <c r="D17" s="3">
        <f ca="1"/>
        <v>16</v>
      </c>
      <c r="E17" s="3">
        <f ca="1"/>
        <v>13</v>
      </c>
      <c r="F17" s="3">
        <f t="shared" ca="1" si="0"/>
        <v>0</v>
      </c>
      <c r="G17" s="3">
        <f t="shared" ca="1" si="1"/>
        <v>17</v>
      </c>
      <c r="H17" s="48" t="e" cm="1">
        <f t="array" aca="1" ref="H17" ca="1">IF(B17="","",_xlfn.CHOOSECOLS(_xlfn.CHOOSEROWS(Registered!$C$14:$Z$207,MATCH('Alert List'!B17,Registered!$C$14:$C$207,0)),14,15,16,17,18,19,20,21,22,23,24))</f>
        <v>#N/A</v>
      </c>
      <c r="I17" s="48"/>
      <c r="J17" s="48"/>
      <c r="K17" s="48"/>
      <c r="L17" s="48"/>
      <c r="M17" s="48"/>
      <c r="N17" s="48"/>
      <c r="O17" s="48"/>
      <c r="P17" s="48"/>
      <c r="Q17" s="48"/>
      <c r="R17" s="48"/>
    </row>
    <row r="18" spans="2:18" x14ac:dyDescent="0.2">
      <c r="B18" t="str">
        <f ca="1"/>
        <v>Avanish Pathak</v>
      </c>
      <c r="C18" s="3">
        <f ca="1"/>
        <v>552</v>
      </c>
      <c r="D18" s="3">
        <f ca="1"/>
        <v>18</v>
      </c>
      <c r="E18" s="3">
        <f ca="1"/>
        <v>12</v>
      </c>
      <c r="F18" s="3">
        <f t="shared" ca="1" si="0"/>
        <v>5</v>
      </c>
      <c r="G18" s="3">
        <f t="shared" ca="1" si="1"/>
        <v>14</v>
      </c>
      <c r="H18" s="48" t="str" cm="1">
        <f t="array" aca="1" ref="H18:R18" ca="1">IF(B18="","",_xlfn.CHOOSECOLS(_xlfn.CHOOSEROWS(Registered!$C$14:$Z$207,MATCH('Alert List'!B18,Registered!$C$14:$C$207,0)),14,15,16,17,18,19,20,21,22,23,24))</f>
        <v>Yes</v>
      </c>
      <c r="I18" s="48" t="str">
        <f ca="1"/>
        <v>Yes</v>
      </c>
      <c r="J18" s="48" t="str">
        <f ca="1"/>
        <v>Yes</v>
      </c>
      <c r="K18" s="48" t="str">
        <f ca="1"/>
        <v>Yes</v>
      </c>
      <c r="L18" s="48" t="str">
        <f ca="1"/>
        <v>Yes</v>
      </c>
      <c r="M18" s="48">
        <f ca="1"/>
        <v>0</v>
      </c>
      <c r="N18" s="48">
        <f ca="1"/>
        <v>0</v>
      </c>
      <c r="O18" s="48">
        <f ca="1"/>
        <v>0</v>
      </c>
      <c r="P18" s="48">
        <f ca="1"/>
        <v>0</v>
      </c>
      <c r="Q18" s="48">
        <f ca="1"/>
        <v>0</v>
      </c>
      <c r="R18" s="48">
        <f ca="1"/>
        <v>0</v>
      </c>
    </row>
    <row r="19" spans="2:18" x14ac:dyDescent="0.2">
      <c r="B19" t="str">
        <f ca="1"/>
        <v>Mayank Pant</v>
      </c>
      <c r="C19" s="3">
        <f ca="1"/>
        <v>612</v>
      </c>
      <c r="D19" s="3">
        <f ca="1"/>
        <v>20</v>
      </c>
      <c r="E19" s="3">
        <f ca="1"/>
        <v>12</v>
      </c>
      <c r="F19" s="3">
        <f t="shared" ca="1" si="0"/>
        <v>5</v>
      </c>
      <c r="G19" s="3">
        <f t="shared" ca="1" si="1"/>
        <v>16</v>
      </c>
      <c r="H19" s="48" t="str" cm="1">
        <f t="array" aca="1" ref="H19:R19" ca="1">IF(B19="","",_xlfn.CHOOSECOLS(_xlfn.CHOOSEROWS(Registered!$C$14:$Z$207,MATCH('Alert List'!B19,Registered!$C$14:$C$207,0)),14,15,16,17,18,19,20,21,22,23,24))</f>
        <v>Yes</v>
      </c>
      <c r="I19" s="48" t="str">
        <f ca="1"/>
        <v>Yes</v>
      </c>
      <c r="J19" s="48" t="str">
        <f ca="1"/>
        <v>Yes</v>
      </c>
      <c r="K19" s="48" t="str">
        <f ca="1"/>
        <v>Yes</v>
      </c>
      <c r="L19" s="48" t="str">
        <f ca="1"/>
        <v>Yes</v>
      </c>
      <c r="M19" s="48">
        <f ca="1"/>
        <v>0</v>
      </c>
      <c r="N19" s="48">
        <f ca="1"/>
        <v>0</v>
      </c>
      <c r="O19" s="48">
        <f ca="1"/>
        <v>0</v>
      </c>
      <c r="P19" s="48">
        <f ca="1"/>
        <v>0</v>
      </c>
      <c r="Q19" s="48">
        <f ca="1"/>
        <v>0</v>
      </c>
      <c r="R19" s="48">
        <f ca="1"/>
        <v>0</v>
      </c>
    </row>
    <row r="20" spans="2:18" x14ac:dyDescent="0.2">
      <c r="B20" t="str">
        <f ca="1"/>
        <v>Harish S</v>
      </c>
      <c r="C20" s="3">
        <f ca="1"/>
        <v>699</v>
      </c>
      <c r="D20" s="3">
        <f ca="1"/>
        <v>23</v>
      </c>
      <c r="E20" s="3">
        <f ca="1"/>
        <v>9</v>
      </c>
      <c r="F20" s="3">
        <f t="shared" ca="1" si="0"/>
        <v>8</v>
      </c>
      <c r="G20" s="3">
        <f t="shared" ca="1" si="1"/>
        <v>16</v>
      </c>
      <c r="H20" s="48" t="str" cm="1">
        <f t="array" aca="1" ref="H20:R20" ca="1">IF(B20="","",_xlfn.CHOOSECOLS(_xlfn.CHOOSEROWS(Registered!$C$14:$Z$207,MATCH('Alert List'!B20,Registered!$C$14:$C$207,0)),14,15,16,17,18,19,20,21,22,23,24))</f>
        <v>Yes</v>
      </c>
      <c r="I20" s="48" t="str">
        <f ca="1"/>
        <v>Yes</v>
      </c>
      <c r="J20" s="48" t="str">
        <f ca="1"/>
        <v>Yes</v>
      </c>
      <c r="K20" s="48" t="str">
        <f ca="1"/>
        <v>Yes</v>
      </c>
      <c r="L20" s="48" t="str">
        <f ca="1"/>
        <v>Yes</v>
      </c>
      <c r="M20" s="48" t="str">
        <f ca="1"/>
        <v>Yes</v>
      </c>
      <c r="N20" s="48" t="str">
        <f ca="1"/>
        <v>Yes</v>
      </c>
      <c r="O20" s="48" t="str">
        <f ca="1"/>
        <v>Yes</v>
      </c>
      <c r="P20" s="48">
        <f ca="1"/>
        <v>0</v>
      </c>
      <c r="Q20" s="48">
        <f ca="1"/>
        <v>0</v>
      </c>
      <c r="R20" s="48">
        <f ca="1"/>
        <v>0</v>
      </c>
    </row>
    <row r="21" spans="2:18" x14ac:dyDescent="0.2">
      <c r="B21" t="str">
        <f ca="1"/>
        <v>Chris F</v>
      </c>
      <c r="C21" s="3">
        <f ca="1"/>
        <v>699</v>
      </c>
      <c r="D21" s="3">
        <f ca="1"/>
        <v>23</v>
      </c>
      <c r="E21" s="3">
        <f ca="1"/>
        <v>9</v>
      </c>
      <c r="F21" s="3">
        <f t="shared" ca="1" si="0"/>
        <v>8</v>
      </c>
      <c r="G21" s="3">
        <f t="shared" ca="1" si="1"/>
        <v>16</v>
      </c>
      <c r="H21" s="48" t="str" cm="1">
        <f t="array" aca="1" ref="H21:R21" ca="1">IF(B21="","",_xlfn.CHOOSECOLS(_xlfn.CHOOSEROWS(Registered!$C$14:$Z$207,MATCH('Alert List'!B21,Registered!$C$14:$C$207,0)),14,15,16,17,18,19,20,21,22,23,24))</f>
        <v>Yes</v>
      </c>
      <c r="I21" s="48" t="str">
        <f ca="1"/>
        <v>Yes</v>
      </c>
      <c r="J21" s="48" t="str">
        <f ca="1"/>
        <v>Yes</v>
      </c>
      <c r="K21" s="48" t="str">
        <f ca="1"/>
        <v>Yes</v>
      </c>
      <c r="L21" s="48" t="str">
        <f ca="1"/>
        <v>Yes</v>
      </c>
      <c r="M21" s="48" t="str">
        <f ca="1"/>
        <v>Yes</v>
      </c>
      <c r="N21" s="48" t="str">
        <f ca="1"/>
        <v>Yes</v>
      </c>
      <c r="O21" s="48" t="str">
        <f ca="1"/>
        <v>Yes</v>
      </c>
      <c r="P21" s="48">
        <f ca="1"/>
        <v>0</v>
      </c>
      <c r="Q21" s="48">
        <f ca="1"/>
        <v>0</v>
      </c>
      <c r="R21" s="48">
        <f ca="1"/>
        <v>0</v>
      </c>
    </row>
    <row r="22" spans="2:18" x14ac:dyDescent="0.2">
      <c r="B22" t="str">
        <f ca="1"/>
        <v>Sourav C</v>
      </c>
      <c r="C22" s="3">
        <f ca="1"/>
        <v>579</v>
      </c>
      <c r="D22" s="3">
        <f ca="1"/>
        <v>19</v>
      </c>
      <c r="E22" s="3">
        <f ca="1"/>
        <v>9</v>
      </c>
      <c r="F22" s="3">
        <f t="shared" ca="1" si="0"/>
        <v>5</v>
      </c>
      <c r="G22" s="3">
        <f t="shared" ca="1" si="1"/>
        <v>15</v>
      </c>
      <c r="H22" s="48" t="str" cm="1">
        <f t="array" aca="1" ref="H22:R22" ca="1">IF(B22="","",_xlfn.CHOOSECOLS(_xlfn.CHOOSEROWS(Registered!$C$14:$Z$207,MATCH('Alert List'!B22,Registered!$C$14:$C$207,0)),14,15,16,17,18,19,20,21,22,23,24))</f>
        <v>Yes</v>
      </c>
      <c r="I22" s="48" t="str">
        <f ca="1"/>
        <v>Yes</v>
      </c>
      <c r="J22" s="48" t="str">
        <f ca="1"/>
        <v>Yes</v>
      </c>
      <c r="K22" s="48" t="str">
        <f ca="1"/>
        <v>Yes</v>
      </c>
      <c r="L22" s="48" t="str">
        <f ca="1"/>
        <v>Yes</v>
      </c>
      <c r="M22" s="48">
        <f ca="1"/>
        <v>0</v>
      </c>
      <c r="N22" s="48">
        <f ca="1"/>
        <v>0</v>
      </c>
      <c r="O22" s="48">
        <f ca="1"/>
        <v>0</v>
      </c>
      <c r="P22" s="48">
        <f ca="1"/>
        <v>0</v>
      </c>
      <c r="Q22" s="48">
        <f ca="1"/>
        <v>0</v>
      </c>
      <c r="R22" s="48">
        <f ca="1"/>
        <v>0</v>
      </c>
    </row>
    <row r="23" spans="2:18" x14ac:dyDescent="0.2">
      <c r="B23" t="str">
        <f ca="1"/>
        <v>Sagar (Hemant Sharma)</v>
      </c>
      <c r="C23" s="3">
        <f ca="1"/>
        <v>518</v>
      </c>
      <c r="D23" s="3">
        <f ca="1"/>
        <v>17</v>
      </c>
      <c r="E23" s="3">
        <f ca="1"/>
        <v>8</v>
      </c>
      <c r="F23" s="3">
        <f t="shared" ca="1" si="0"/>
        <v>2</v>
      </c>
      <c r="G23" s="3">
        <f t="shared" ca="1" si="1"/>
        <v>16</v>
      </c>
      <c r="H23" s="48" t="str" cm="1">
        <f t="array" aca="1" ref="H23:R23" ca="1">IF(B23="","",_xlfn.CHOOSECOLS(_xlfn.CHOOSEROWS(Registered!$C$14:$Z$207,MATCH('Alert List'!B23,Registered!$C$14:$C$207,0)),14,15,16,17,18,19,20,21,22,23,24))</f>
        <v>Yes</v>
      </c>
      <c r="I23" s="48" t="str">
        <f ca="1"/>
        <v>Yes</v>
      </c>
      <c r="J23" s="48">
        <f ca="1"/>
        <v>0</v>
      </c>
      <c r="K23" s="48">
        <f ca="1"/>
        <v>0</v>
      </c>
      <c r="L23" s="48">
        <f ca="1"/>
        <v>0</v>
      </c>
      <c r="M23" s="48">
        <f ca="1"/>
        <v>0</v>
      </c>
      <c r="N23" s="48">
        <f ca="1"/>
        <v>0</v>
      </c>
      <c r="O23" s="48">
        <f ca="1"/>
        <v>0</v>
      </c>
      <c r="P23" s="48">
        <f ca="1"/>
        <v>0</v>
      </c>
      <c r="Q23" s="48">
        <f ca="1"/>
        <v>0</v>
      </c>
      <c r="R23" s="48">
        <f ca="1"/>
        <v>0</v>
      </c>
    </row>
    <row r="24" spans="2:18" x14ac:dyDescent="0.2">
      <c r="B24" t="str">
        <f ca="1"/>
        <v>Hemant Sharma</v>
      </c>
      <c r="C24" s="3">
        <f ca="1"/>
        <v>518</v>
      </c>
      <c r="D24" s="3">
        <f ca="1"/>
        <v>17</v>
      </c>
      <c r="E24" s="3">
        <f ca="1"/>
        <v>8</v>
      </c>
      <c r="F24" s="3">
        <f t="shared" ca="1" si="0"/>
        <v>3</v>
      </c>
      <c r="G24" s="3">
        <f t="shared" ca="1" si="1"/>
        <v>15</v>
      </c>
      <c r="H24" s="48" t="str" cm="1">
        <f t="array" aca="1" ref="H24:R24" ca="1">IF(B24="","",_xlfn.CHOOSECOLS(_xlfn.CHOOSEROWS(Registered!$C$14:$Z$207,MATCH('Alert List'!B24,Registered!$C$14:$C$207,0)),14,15,16,17,18,19,20,21,22,23,24))</f>
        <v>Yes</v>
      </c>
      <c r="I24" s="48" t="str">
        <f ca="1"/>
        <v>Yes</v>
      </c>
      <c r="J24" s="48" t="str">
        <f ca="1"/>
        <v>Yes</v>
      </c>
      <c r="K24" s="48">
        <f ca="1"/>
        <v>0</v>
      </c>
      <c r="L24" s="48">
        <f ca="1"/>
        <v>0</v>
      </c>
      <c r="M24" s="48">
        <f ca="1"/>
        <v>0</v>
      </c>
      <c r="N24" s="48">
        <f ca="1"/>
        <v>0</v>
      </c>
      <c r="O24" s="48">
        <f ca="1"/>
        <v>0</v>
      </c>
      <c r="P24" s="48">
        <f ca="1"/>
        <v>0</v>
      </c>
      <c r="Q24" s="48">
        <f ca="1"/>
        <v>0</v>
      </c>
      <c r="R24" s="48">
        <f ca="1"/>
        <v>0</v>
      </c>
    </row>
    <row r="25" spans="2:18" x14ac:dyDescent="0.2">
      <c r="B25" t="str">
        <f ca="1"/>
        <v>Nishant K</v>
      </c>
      <c r="C25" s="3">
        <f ca="1"/>
        <v>607</v>
      </c>
      <c r="D25" s="3">
        <f ca="1"/>
        <v>20</v>
      </c>
      <c r="E25" s="3">
        <f ca="1"/>
        <v>7</v>
      </c>
      <c r="F25" s="3">
        <f t="shared" ca="1" si="0"/>
        <v>4</v>
      </c>
      <c r="G25" s="3">
        <f t="shared" ca="1" si="1"/>
        <v>17</v>
      </c>
      <c r="H25" s="48" t="str" cm="1">
        <f t="array" aca="1" ref="H25:R25" ca="1">IF(B25="","",_xlfn.CHOOSECOLS(_xlfn.CHOOSEROWS(Registered!$C$14:$Z$207,MATCH('Alert List'!B25,Registered!$C$14:$C$207,0)),14,15,16,17,18,19,20,21,22,23,24))</f>
        <v>Yes</v>
      </c>
      <c r="I25" s="48" t="str">
        <f ca="1"/>
        <v>Yes</v>
      </c>
      <c r="J25" s="48" t="str">
        <f ca="1"/>
        <v>Yes</v>
      </c>
      <c r="K25" s="48" t="str">
        <f ca="1"/>
        <v>Yes</v>
      </c>
      <c r="L25" s="48">
        <f ca="1"/>
        <v>0</v>
      </c>
      <c r="M25" s="48">
        <f ca="1"/>
        <v>0</v>
      </c>
      <c r="N25" s="48">
        <f ca="1"/>
        <v>0</v>
      </c>
      <c r="O25" s="48">
        <f ca="1"/>
        <v>0</v>
      </c>
      <c r="P25" s="48">
        <f ca="1"/>
        <v>0</v>
      </c>
      <c r="Q25" s="48">
        <f ca="1"/>
        <v>0</v>
      </c>
      <c r="R25" s="48">
        <f ca="1"/>
        <v>0</v>
      </c>
    </row>
    <row r="26" spans="2:18" x14ac:dyDescent="0.2">
      <c r="B26" t="str">
        <f ca="1"/>
        <v>Uttam Yamgar</v>
      </c>
      <c r="C26" s="3">
        <f ca="1"/>
        <v>546</v>
      </c>
      <c r="D26" s="3">
        <f ca="1"/>
        <v>18</v>
      </c>
      <c r="E26" s="3">
        <f ca="1"/>
        <v>6</v>
      </c>
      <c r="F26" s="3">
        <f t="shared" ca="1" si="0"/>
        <v>2</v>
      </c>
      <c r="G26" s="3">
        <f t="shared" ca="1" si="1"/>
        <v>17</v>
      </c>
      <c r="H26" s="48" t="str" cm="1">
        <f t="array" aca="1" ref="H26:R26" ca="1">IF(B26="","",_xlfn.CHOOSECOLS(_xlfn.CHOOSEROWS(Registered!$C$14:$Z$207,MATCH('Alert List'!B26,Registered!$C$14:$C$207,0)),14,15,16,17,18,19,20,21,22,23,24))</f>
        <v>Yes</v>
      </c>
      <c r="I26" s="48" t="str">
        <f ca="1"/>
        <v>Yes</v>
      </c>
      <c r="J26" s="48">
        <f ca="1"/>
        <v>0</v>
      </c>
      <c r="K26" s="48">
        <f ca="1"/>
        <v>0</v>
      </c>
      <c r="L26" s="48">
        <f ca="1"/>
        <v>0</v>
      </c>
      <c r="M26" s="48">
        <f ca="1"/>
        <v>0</v>
      </c>
      <c r="N26" s="48">
        <f ca="1"/>
        <v>0</v>
      </c>
      <c r="O26" s="48">
        <f ca="1"/>
        <v>0</v>
      </c>
      <c r="P26" s="48">
        <f ca="1"/>
        <v>0</v>
      </c>
      <c r="Q26" s="48">
        <f ca="1"/>
        <v>0</v>
      </c>
      <c r="R26" s="48">
        <f ca="1"/>
        <v>0</v>
      </c>
    </row>
    <row r="27" spans="2:18" x14ac:dyDescent="0.2">
      <c r="B27" t="str">
        <f ca="1"/>
        <v>Amrut Chavan</v>
      </c>
      <c r="C27" s="3">
        <f ca="1"/>
        <v>546</v>
      </c>
      <c r="D27" s="3">
        <f ca="1"/>
        <v>18</v>
      </c>
      <c r="E27" s="3">
        <f ca="1"/>
        <v>6</v>
      </c>
      <c r="F27" s="3">
        <f t="shared" ca="1" si="0"/>
        <v>1</v>
      </c>
      <c r="G27" s="3">
        <f t="shared" ca="1" si="1"/>
        <v>18</v>
      </c>
      <c r="H27" s="48" t="str" cm="1">
        <f t="array" aca="1" ref="H27:R27" ca="1">IF(B27="","",_xlfn.CHOOSECOLS(_xlfn.CHOOSEROWS(Registered!$C$14:$Z$207,MATCH('Alert List'!B27,Registered!$C$14:$C$207,0)),14,15,16,17,18,19,20,21,22,23,24))</f>
        <v>Yes</v>
      </c>
      <c r="I27" s="48">
        <f ca="1"/>
        <v>0</v>
      </c>
      <c r="J27" s="48">
        <f ca="1"/>
        <v>0</v>
      </c>
      <c r="K27" s="48">
        <f ca="1"/>
        <v>0</v>
      </c>
      <c r="L27" s="48">
        <f ca="1"/>
        <v>0</v>
      </c>
      <c r="M27" s="48">
        <f ca="1"/>
        <v>0</v>
      </c>
      <c r="N27" s="48">
        <f ca="1"/>
        <v>0</v>
      </c>
      <c r="O27" s="48">
        <f ca="1"/>
        <v>0</v>
      </c>
      <c r="P27" s="48">
        <f ca="1"/>
        <v>0</v>
      </c>
      <c r="Q27" s="48">
        <f ca="1"/>
        <v>0</v>
      </c>
      <c r="R27" s="48">
        <f ca="1"/>
        <v>0</v>
      </c>
    </row>
    <row r="28" spans="2:18" x14ac:dyDescent="0.2">
      <c r="B28" t="str">
        <f ca="1"/>
        <v>Kunal M</v>
      </c>
      <c r="C28" s="3">
        <f ca="1"/>
        <v>696</v>
      </c>
      <c r="D28" s="3">
        <f ca="1"/>
        <v>23</v>
      </c>
      <c r="E28" s="3">
        <f ca="1"/>
        <v>6</v>
      </c>
      <c r="F28" s="3">
        <f t="shared" ca="1" si="0"/>
        <v>8</v>
      </c>
      <c r="G28" s="3">
        <f t="shared" ca="1" si="1"/>
        <v>16</v>
      </c>
      <c r="H28" s="48" t="str" cm="1">
        <f t="array" aca="1" ref="H28:R28" ca="1">IF(B28="","",_xlfn.CHOOSECOLS(_xlfn.CHOOSEROWS(Registered!$C$14:$Z$207,MATCH('Alert List'!B28,Registered!$C$14:$C$207,0)),14,15,16,17,18,19,20,21,22,23,24))</f>
        <v>Yes</v>
      </c>
      <c r="I28" s="48" t="str">
        <f ca="1"/>
        <v>Yes</v>
      </c>
      <c r="J28" s="48" t="str">
        <f ca="1"/>
        <v>Yes</v>
      </c>
      <c r="K28" s="48" t="str">
        <f ca="1"/>
        <v>Yes</v>
      </c>
      <c r="L28" s="48" t="str">
        <f ca="1"/>
        <v>Yes</v>
      </c>
      <c r="M28" s="48" t="str">
        <f ca="1"/>
        <v>Yes</v>
      </c>
      <c r="N28" s="48" t="str">
        <f ca="1"/>
        <v>Yes</v>
      </c>
      <c r="O28" s="48" t="str">
        <f ca="1"/>
        <v>Yes</v>
      </c>
      <c r="P28" s="48">
        <f ca="1"/>
        <v>0</v>
      </c>
      <c r="Q28" s="48">
        <f ca="1"/>
        <v>0</v>
      </c>
      <c r="R28" s="48">
        <f ca="1"/>
        <v>0</v>
      </c>
    </row>
    <row r="29" spans="2:18" x14ac:dyDescent="0.2">
      <c r="B29" t="str">
        <f ca="1"/>
        <v>Subhrangshu N</v>
      </c>
      <c r="C29" s="3">
        <f ca="1"/>
        <v>574</v>
      </c>
      <c r="D29" s="3">
        <f ca="1"/>
        <v>19</v>
      </c>
      <c r="E29" s="3">
        <f ca="1"/>
        <v>4</v>
      </c>
      <c r="F29" s="3">
        <f t="shared" ca="1" si="0"/>
        <v>1</v>
      </c>
      <c r="G29" s="3">
        <f t="shared" ca="1" si="1"/>
        <v>19</v>
      </c>
      <c r="H29" s="3" t="str" cm="1">
        <f t="array" aca="1" ref="H29:R29" ca="1">IF(B29="","",_xlfn.CHOOSECOLS(_xlfn.CHOOSEROWS(Registered!$C$14:$Z$207,MATCH('Alert List'!B29,Registered!$C$14:$C$207,0)),14,15,16,17,18,19,20,21,22,23,24))</f>
        <v>Yes</v>
      </c>
      <c r="I29" s="3">
        <f ca="1"/>
        <v>0</v>
      </c>
      <c r="J29" s="3">
        <f ca="1"/>
        <v>0</v>
      </c>
      <c r="K29" s="3">
        <f ca="1"/>
        <v>0</v>
      </c>
      <c r="L29" s="3">
        <f ca="1"/>
        <v>0</v>
      </c>
      <c r="M29" s="3">
        <f ca="1"/>
        <v>0</v>
      </c>
      <c r="N29" s="3">
        <f ca="1"/>
        <v>0</v>
      </c>
      <c r="O29" s="3">
        <f ca="1"/>
        <v>0</v>
      </c>
      <c r="P29" s="3">
        <f ca="1"/>
        <v>0</v>
      </c>
      <c r="Q29" s="3">
        <f ca="1"/>
        <v>0</v>
      </c>
      <c r="R29" s="3">
        <f ca="1"/>
        <v>0</v>
      </c>
    </row>
    <row r="30" spans="2:18" x14ac:dyDescent="0.2">
      <c r="B30" t="str">
        <f ca="1"/>
        <v>Omkar Vaidya</v>
      </c>
      <c r="C30" s="3">
        <f ca="1"/>
        <v>482</v>
      </c>
      <c r="D30" s="3">
        <f ca="1"/>
        <v>16</v>
      </c>
      <c r="E30" s="3">
        <f ca="1"/>
        <v>2</v>
      </c>
      <c r="F30" s="3">
        <f t="shared" ca="1" si="0"/>
        <v>0</v>
      </c>
      <c r="G30" s="3">
        <f t="shared" ca="1" si="1"/>
        <v>17</v>
      </c>
      <c r="H30" s="3" t="e" cm="1">
        <f t="array" aca="1" ref="H30" ca="1">IF(B30="","",_xlfn.CHOOSECOLS(_xlfn.CHOOSEROWS(Registered!$C$14:$Z$207,MATCH('Alert List'!B30,Registered!$C$14:$C$207,0)),14,15,16,17,18,19,20,21,22,23,24))</f>
        <v>#N/A</v>
      </c>
    </row>
    <row r="31" spans="2:18" x14ac:dyDescent="0.2">
      <c r="B31" t="str">
        <f ca="1"/>
        <v>Milton</v>
      </c>
      <c r="C31" s="3">
        <f ca="1"/>
        <v>540</v>
      </c>
      <c r="D31" s="3">
        <f ca="1"/>
        <v>18</v>
      </c>
      <c r="E31" s="3">
        <f ca="1"/>
        <v>0</v>
      </c>
      <c r="G31" s="3">
        <f t="shared" ref="G31" ca="1" si="2">IF(B31="","",(D31-F31+1))</f>
        <v>19</v>
      </c>
      <c r="H31" s="3" t="str" cm="1">
        <f t="array" aca="1" ref="H31:R31" ca="1">IF(B31="","",_xlfn.CHOOSECOLS(_xlfn.CHOOSEROWS(Registered!$C$14:$Z$207,MATCH('Alert List'!B31,Registered!$C$14:$C$207,0)),14,15,16,17,18,19,20,21,22,23,24))</f>
        <v>Yes</v>
      </c>
      <c r="I31" s="3">
        <f ca="1"/>
        <v>0</v>
      </c>
      <c r="J31" s="3">
        <f ca="1"/>
        <v>0</v>
      </c>
      <c r="K31" s="3">
        <f ca="1"/>
        <v>0</v>
      </c>
      <c r="L31" s="3">
        <f ca="1"/>
        <v>0</v>
      </c>
      <c r="M31" s="3">
        <f ca="1"/>
        <v>0</v>
      </c>
      <c r="N31" s="3">
        <f ca="1"/>
        <v>0</v>
      </c>
      <c r="O31" s="3">
        <f ca="1"/>
        <v>0</v>
      </c>
      <c r="P31" s="3">
        <f ca="1"/>
        <v>0</v>
      </c>
      <c r="Q31" s="3">
        <f ca="1"/>
        <v>0</v>
      </c>
      <c r="R31" s="3">
        <f ca="1"/>
        <v>0</v>
      </c>
    </row>
  </sheetData>
  <conditionalFormatting sqref="B3:B28">
    <cfRule type="expression" dxfId="4" priority="1">
      <formula>$A3="Watch/Remove"</formula>
    </cfRule>
    <cfRule type="expression" dxfId="3" priority="2">
      <formula>$A3="Watch"</formula>
    </cfRule>
  </conditionalFormatting>
  <conditionalFormatting sqref="G3:G31">
    <cfRule type="colorScale" priority="3">
      <colorScale>
        <cfvo type="min"/>
        <cfvo type="percentile" val="50"/>
        <cfvo type="max"/>
        <color rgb="FF63BE7B"/>
        <color rgb="FFFFEB84"/>
        <color rgb="FFF8696B"/>
      </colorScale>
    </cfRule>
  </conditionalFormatting>
  <hyperlinks>
    <hyperlink ref="A1" location="Registered!A1" display="Main Page" xr:uid="{A3CE5995-135E-42B2-8A24-5B308A2E8B0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331DA-3BDE-48CE-A50F-328E86575E8D}">
  <sheetPr>
    <tabColor rgb="FF00B0F0"/>
  </sheetPr>
  <dimension ref="A1:F9"/>
  <sheetViews>
    <sheetView workbookViewId="0">
      <selection activeCell="B14" sqref="B14"/>
    </sheetView>
  </sheetViews>
  <sheetFormatPr baseColWidth="10" defaultColWidth="8.83203125" defaultRowHeight="15" x14ac:dyDescent="0.2"/>
  <cols>
    <col min="1" max="2" width="22.5" bestFit="1" customWidth="1"/>
    <col min="3" max="3" width="24" bestFit="1" customWidth="1"/>
    <col min="4" max="4" width="24.33203125" bestFit="1" customWidth="1"/>
    <col min="5" max="5" width="20.5" bestFit="1" customWidth="1"/>
    <col min="6" max="6" width="20.83203125" bestFit="1" customWidth="1"/>
    <col min="7" max="7" width="24.33203125" bestFit="1" customWidth="1"/>
    <col min="8" max="8" width="29.33203125" bestFit="1" customWidth="1"/>
    <col min="9" max="9" width="20.83203125" bestFit="1" customWidth="1"/>
  </cols>
  <sheetData>
    <row r="1" spans="1:6" ht="16" thickBot="1" x14ac:dyDescent="0.25">
      <c r="A1" s="67" t="s">
        <v>221</v>
      </c>
      <c r="B1" s="67" t="s">
        <v>2</v>
      </c>
      <c r="C1" s="67" t="s">
        <v>141</v>
      </c>
      <c r="D1" s="67" t="s">
        <v>223</v>
      </c>
      <c r="E1" s="67" t="s">
        <v>222</v>
      </c>
      <c r="F1" s="67" t="s">
        <v>254</v>
      </c>
    </row>
    <row r="2" spans="1:6" x14ac:dyDescent="0.2">
      <c r="A2" t="str" cm="1">
        <f t="array" ref="A2:F9">_xlfn.CHOOSECOLS(_xlfn._xlws.FILTER(Table1[],Table1[Lead Status]="Follow"),2,5,6,7,8,9)</f>
        <v>NewsInsert-05Jan25-3500</v>
      </c>
      <c r="B2" t="str">
        <v>Om Prakash Sharma</v>
      </c>
      <c r="C2" t="str">
        <v>Confirmed</v>
      </c>
      <c r="D2" t="str">
        <v>om18.felix@gmail.com</v>
      </c>
      <c r="E2" t="str">
        <v>F/U for payment 6999/-</v>
      </c>
      <c r="F2" t="str">
        <v>Will call later, interested</v>
      </c>
    </row>
    <row r="3" spans="1:6" x14ac:dyDescent="0.2">
      <c r="A3" t="str">
        <v>NewsInsert-05Jan25-3500</v>
      </c>
      <c r="B3" t="str">
        <v>Siddhi Bankar</v>
      </c>
      <c r="C3">
        <v>0</v>
      </c>
      <c r="D3" t="str">
        <v>bankarsiddhi@gmail.com</v>
      </c>
      <c r="E3" t="str">
        <v>Call for confirmation</v>
      </c>
      <c r="F3" t="str">
        <v>Not confirmed</v>
      </c>
    </row>
    <row r="4" spans="1:6" x14ac:dyDescent="0.2">
      <c r="A4" t="str">
        <v>NewsInsert-11Jan25-3500</v>
      </c>
      <c r="B4" t="str">
        <v>Venugopal Pnakkal</v>
      </c>
      <c r="C4">
        <v>0</v>
      </c>
      <c r="D4">
        <v>0</v>
      </c>
      <c r="E4">
        <v>0</v>
      </c>
      <c r="F4">
        <v>0</v>
      </c>
    </row>
    <row r="5" spans="1:6" x14ac:dyDescent="0.2">
      <c r="A5" t="str">
        <v>NewsInsert-11Jan25-3500</v>
      </c>
      <c r="B5" t="str">
        <v>Omkar Sawant</v>
      </c>
      <c r="C5" t="str">
        <v>Demo done, fu after a week</v>
      </c>
      <c r="D5">
        <v>0</v>
      </c>
      <c r="E5">
        <v>0</v>
      </c>
      <c r="F5">
        <v>0</v>
      </c>
    </row>
    <row r="6" spans="1:6" x14ac:dyDescent="0.2">
      <c r="A6" t="str">
        <v>Own Network</v>
      </c>
      <c r="B6" t="str">
        <v>Kartik (Madhu's son)</v>
      </c>
      <c r="C6">
        <v>0</v>
      </c>
      <c r="D6" t="str">
        <v>Am_madhu@rediffmail.com</v>
      </c>
      <c r="E6">
        <v>0</v>
      </c>
      <c r="F6">
        <v>0</v>
      </c>
    </row>
    <row r="7" spans="1:6" x14ac:dyDescent="0.2">
      <c r="A7" t="str">
        <v>Own Network</v>
      </c>
      <c r="B7" t="str">
        <v>Sachin's Son/Daughter</v>
      </c>
      <c r="C7">
        <v>0</v>
      </c>
      <c r="D7">
        <v>0</v>
      </c>
      <c r="E7">
        <v>0</v>
      </c>
      <c r="F7">
        <v>0</v>
      </c>
    </row>
    <row r="8" spans="1:6" x14ac:dyDescent="0.2">
      <c r="A8" t="str">
        <v>Akshay</v>
      </c>
      <c r="B8" t="str">
        <v>Akshay's friend</v>
      </c>
      <c r="C8">
        <v>0</v>
      </c>
      <c r="D8">
        <v>0</v>
      </c>
      <c r="E8">
        <v>0</v>
      </c>
      <c r="F8">
        <v>0</v>
      </c>
    </row>
    <row r="9" spans="1:6" x14ac:dyDescent="0.2">
      <c r="A9" t="str">
        <v>Uttam</v>
      </c>
      <c r="B9" t="str">
        <v>Priya Motwani</v>
      </c>
      <c r="C9">
        <v>0</v>
      </c>
      <c r="D9">
        <v>0</v>
      </c>
      <c r="E9">
        <v>0</v>
      </c>
      <c r="F9">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D4E09-D8B9-4480-A7B2-19F00A8DBF95}">
  <sheetPr codeName="Sheet2">
    <tabColor rgb="FF92D050"/>
  </sheetPr>
  <dimension ref="A1:O42"/>
  <sheetViews>
    <sheetView workbookViewId="0">
      <selection activeCell="E29" sqref="E29"/>
    </sheetView>
  </sheetViews>
  <sheetFormatPr baseColWidth="10" defaultColWidth="8.83203125" defaultRowHeight="15" x14ac:dyDescent="0.2"/>
  <cols>
    <col min="1" max="1" width="10.33203125" bestFit="1" customWidth="1"/>
    <col min="2" max="2" width="22.5" bestFit="1" customWidth="1"/>
    <col min="3" max="3" width="6.5" bestFit="1" customWidth="1"/>
    <col min="4" max="4" width="12.83203125" customWidth="1"/>
    <col min="5" max="5" width="21.33203125" bestFit="1" customWidth="1"/>
    <col min="6" max="6" width="32.83203125" bestFit="1" customWidth="1"/>
    <col min="7" max="7" width="20" bestFit="1" customWidth="1"/>
    <col min="8" max="8" width="32.83203125" customWidth="1"/>
    <col min="9" max="9" width="20.5" bestFit="1" customWidth="1"/>
    <col min="12" max="12" width="11.5" bestFit="1" customWidth="1"/>
    <col min="13" max="13" width="10.6640625" style="3" bestFit="1" customWidth="1"/>
    <col min="14" max="15" width="8.83203125" style="3"/>
  </cols>
  <sheetData>
    <row r="1" spans="1:15" x14ac:dyDescent="0.2">
      <c r="A1" s="53" t="s">
        <v>144</v>
      </c>
      <c r="B1" s="53" t="s">
        <v>221</v>
      </c>
      <c r="C1" s="53" t="s">
        <v>0</v>
      </c>
      <c r="D1" s="53" t="s">
        <v>228</v>
      </c>
      <c r="E1" s="53" t="s">
        <v>2</v>
      </c>
      <c r="F1" s="53" t="s">
        <v>141</v>
      </c>
      <c r="G1" s="53" t="s">
        <v>223</v>
      </c>
      <c r="H1" s="53" t="s">
        <v>222</v>
      </c>
      <c r="I1" s="53" t="s">
        <v>254</v>
      </c>
      <c r="L1" s="13">
        <f>SUM(L3:L17)</f>
        <v>45</v>
      </c>
      <c r="M1" s="13">
        <f>SUM(M3:M17)</f>
        <v>11</v>
      </c>
      <c r="N1" s="13">
        <f>SUM(N3:N17)</f>
        <v>34</v>
      </c>
      <c r="O1"/>
    </row>
    <row r="2" spans="1:15" x14ac:dyDescent="0.2">
      <c r="B2" t="s">
        <v>261</v>
      </c>
      <c r="C2">
        <v>1</v>
      </c>
      <c r="D2" t="s">
        <v>229</v>
      </c>
      <c r="E2" s="58" t="s">
        <v>183</v>
      </c>
      <c r="F2" t="s">
        <v>189</v>
      </c>
      <c r="H2" s="54" t="s">
        <v>226</v>
      </c>
      <c r="K2" s="19" t="s">
        <v>145</v>
      </c>
      <c r="L2" s="20" t="s">
        <v>146</v>
      </c>
      <c r="M2" s="20" t="s">
        <v>147</v>
      </c>
      <c r="N2" s="20" t="s">
        <v>148</v>
      </c>
      <c r="O2"/>
    </row>
    <row r="3" spans="1:15" x14ac:dyDescent="0.2">
      <c r="B3" t="s">
        <v>261</v>
      </c>
      <c r="C3">
        <v>2</v>
      </c>
      <c r="D3" t="s">
        <v>296</v>
      </c>
      <c r="E3" s="51" t="s">
        <v>184</v>
      </c>
      <c r="F3" t="s">
        <v>216</v>
      </c>
      <c r="H3" t="s">
        <v>218</v>
      </c>
      <c r="K3" t="s">
        <v>150</v>
      </c>
      <c r="L3" s="3">
        <v>5</v>
      </c>
      <c r="M3" s="3">
        <v>1</v>
      </c>
      <c r="N3" s="3">
        <f>L3-M3</f>
        <v>4</v>
      </c>
      <c r="O3"/>
    </row>
    <row r="4" spans="1:15" x14ac:dyDescent="0.2">
      <c r="B4" t="s">
        <v>261</v>
      </c>
      <c r="C4">
        <v>3</v>
      </c>
      <c r="D4" t="s">
        <v>293</v>
      </c>
      <c r="E4" s="60" t="s">
        <v>185</v>
      </c>
      <c r="F4" t="s">
        <v>188</v>
      </c>
      <c r="G4" t="s">
        <v>190</v>
      </c>
      <c r="H4" t="s">
        <v>219</v>
      </c>
      <c r="I4" t="s">
        <v>255</v>
      </c>
      <c r="K4" t="s">
        <v>153</v>
      </c>
      <c r="L4" s="3">
        <v>3</v>
      </c>
      <c r="M4" s="3">
        <v>1</v>
      </c>
      <c r="N4" s="3">
        <f>L4-M4</f>
        <v>2</v>
      </c>
      <c r="O4"/>
    </row>
    <row r="5" spans="1:15" x14ac:dyDescent="0.2">
      <c r="B5" t="s">
        <v>261</v>
      </c>
      <c r="C5">
        <v>4</v>
      </c>
      <c r="D5" t="s">
        <v>229</v>
      </c>
      <c r="E5" s="58" t="s">
        <v>186</v>
      </c>
      <c r="F5" t="s">
        <v>217</v>
      </c>
      <c r="H5" s="54" t="s">
        <v>227</v>
      </c>
      <c r="K5" t="s">
        <v>119</v>
      </c>
      <c r="L5" s="3">
        <v>6</v>
      </c>
      <c r="M5" s="3">
        <v>3</v>
      </c>
      <c r="N5" s="3">
        <f>L5-M5</f>
        <v>3</v>
      </c>
      <c r="O5"/>
    </row>
    <row r="6" spans="1:15" x14ac:dyDescent="0.2">
      <c r="B6" t="s">
        <v>261</v>
      </c>
      <c r="C6">
        <v>5</v>
      </c>
      <c r="D6" t="s">
        <v>296</v>
      </c>
      <c r="E6" s="51" t="s">
        <v>187</v>
      </c>
      <c r="F6" t="s">
        <v>188</v>
      </c>
      <c r="H6" t="s">
        <v>219</v>
      </c>
      <c r="I6" t="s">
        <v>256</v>
      </c>
      <c r="K6" t="s">
        <v>74</v>
      </c>
      <c r="L6" s="3">
        <v>4</v>
      </c>
      <c r="N6" s="3">
        <f t="shared" ref="N6:N14" si="0">L6-M6</f>
        <v>4</v>
      </c>
      <c r="O6"/>
    </row>
    <row r="7" spans="1:15" x14ac:dyDescent="0.2">
      <c r="B7" t="s">
        <v>261</v>
      </c>
      <c r="C7">
        <v>6</v>
      </c>
      <c r="D7" t="s">
        <v>296</v>
      </c>
      <c r="E7" s="51" t="s">
        <v>207</v>
      </c>
      <c r="F7" t="s">
        <v>188</v>
      </c>
      <c r="H7" t="s">
        <v>219</v>
      </c>
      <c r="I7" t="s">
        <v>256</v>
      </c>
      <c r="K7" t="s">
        <v>159</v>
      </c>
      <c r="L7" s="3">
        <v>6</v>
      </c>
      <c r="M7" s="3">
        <v>3</v>
      </c>
      <c r="N7" s="3">
        <f t="shared" si="0"/>
        <v>3</v>
      </c>
      <c r="O7"/>
    </row>
    <row r="8" spans="1:15" x14ac:dyDescent="0.2">
      <c r="B8" t="s">
        <v>261</v>
      </c>
      <c r="C8">
        <v>7</v>
      </c>
      <c r="D8" t="s">
        <v>296</v>
      </c>
      <c r="E8" s="61" t="s">
        <v>232</v>
      </c>
      <c r="F8" t="s">
        <v>294</v>
      </c>
      <c r="G8" t="s">
        <v>233</v>
      </c>
      <c r="H8" t="s">
        <v>234</v>
      </c>
      <c r="K8" s="35" t="s">
        <v>155</v>
      </c>
      <c r="L8" s="3">
        <v>5</v>
      </c>
      <c r="M8" s="3">
        <v>2</v>
      </c>
      <c r="N8" s="13">
        <f>L8-M8</f>
        <v>3</v>
      </c>
      <c r="O8"/>
    </row>
    <row r="9" spans="1:15" x14ac:dyDescent="0.2">
      <c r="B9" t="s">
        <v>261</v>
      </c>
      <c r="C9">
        <v>8</v>
      </c>
      <c r="D9" t="s">
        <v>229</v>
      </c>
      <c r="E9" s="58" t="s">
        <v>208</v>
      </c>
      <c r="F9" t="s">
        <v>224</v>
      </c>
      <c r="G9" t="s">
        <v>225</v>
      </c>
      <c r="H9" t="s">
        <v>220</v>
      </c>
      <c r="K9" s="35" t="s">
        <v>82</v>
      </c>
      <c r="L9" s="3">
        <v>2</v>
      </c>
      <c r="N9" s="13">
        <f t="shared" si="0"/>
        <v>2</v>
      </c>
      <c r="O9"/>
    </row>
    <row r="10" spans="1:15" x14ac:dyDescent="0.2">
      <c r="B10" t="s">
        <v>261</v>
      </c>
      <c r="C10">
        <v>9</v>
      </c>
      <c r="D10" t="s">
        <v>293</v>
      </c>
      <c r="E10" s="60" t="s">
        <v>230</v>
      </c>
      <c r="G10" s="9" t="s">
        <v>231</v>
      </c>
      <c r="H10" t="s">
        <v>251</v>
      </c>
      <c r="I10" t="s">
        <v>257</v>
      </c>
      <c r="K10" s="39" t="s">
        <v>123</v>
      </c>
      <c r="L10" s="3">
        <v>5</v>
      </c>
      <c r="M10" s="3">
        <v>1</v>
      </c>
      <c r="N10" s="13">
        <f t="shared" si="0"/>
        <v>4</v>
      </c>
      <c r="O10"/>
    </row>
    <row r="11" spans="1:15" x14ac:dyDescent="0.2">
      <c r="B11" t="s">
        <v>261</v>
      </c>
      <c r="C11">
        <v>10</v>
      </c>
      <c r="D11" t="s">
        <v>229</v>
      </c>
      <c r="E11" s="59" t="s">
        <v>252</v>
      </c>
      <c r="F11" t="s">
        <v>253</v>
      </c>
      <c r="H11" t="s">
        <v>251</v>
      </c>
      <c r="K11" s="35" t="s">
        <v>152</v>
      </c>
      <c r="L11" s="3">
        <v>1</v>
      </c>
      <c r="N11" s="13">
        <f t="shared" si="0"/>
        <v>1</v>
      </c>
      <c r="O11"/>
    </row>
    <row r="12" spans="1:15" x14ac:dyDescent="0.2">
      <c r="B12" t="s">
        <v>267</v>
      </c>
      <c r="C12">
        <v>1</v>
      </c>
      <c r="D12" t="s">
        <v>296</v>
      </c>
      <c r="E12" s="62" t="s">
        <v>266</v>
      </c>
      <c r="K12" s="35" t="s">
        <v>167</v>
      </c>
      <c r="L12" s="3">
        <v>2</v>
      </c>
      <c r="N12" s="13">
        <f t="shared" si="0"/>
        <v>2</v>
      </c>
      <c r="O12"/>
    </row>
    <row r="13" spans="1:15" x14ac:dyDescent="0.2">
      <c r="B13" t="s">
        <v>267</v>
      </c>
      <c r="C13">
        <v>2</v>
      </c>
      <c r="D13" t="s">
        <v>293</v>
      </c>
      <c r="E13" s="60" t="s">
        <v>268</v>
      </c>
      <c r="K13" s="35" t="s">
        <v>169</v>
      </c>
      <c r="L13" s="3">
        <v>3</v>
      </c>
      <c r="N13" s="13">
        <f t="shared" si="0"/>
        <v>3</v>
      </c>
      <c r="O13"/>
    </row>
    <row r="14" spans="1:15" x14ac:dyDescent="0.2">
      <c r="B14" t="s">
        <v>267</v>
      </c>
      <c r="C14">
        <v>3</v>
      </c>
      <c r="D14" t="s">
        <v>296</v>
      </c>
      <c r="E14" s="51" t="s">
        <v>262</v>
      </c>
      <c r="K14" t="s">
        <v>171</v>
      </c>
      <c r="L14" s="3">
        <v>3</v>
      </c>
      <c r="N14" s="3">
        <f t="shared" si="0"/>
        <v>3</v>
      </c>
      <c r="O14"/>
    </row>
    <row r="15" spans="1:15" x14ac:dyDescent="0.2">
      <c r="B15" t="s">
        <v>267</v>
      </c>
      <c r="C15">
        <v>4</v>
      </c>
      <c r="D15" t="s">
        <v>293</v>
      </c>
      <c r="E15" s="60" t="s">
        <v>269</v>
      </c>
      <c r="F15" t="s">
        <v>307</v>
      </c>
      <c r="L15" s="3"/>
      <c r="O15"/>
    </row>
    <row r="16" spans="1:15" x14ac:dyDescent="0.2">
      <c r="B16" t="s">
        <v>267</v>
      </c>
      <c r="C16">
        <v>5</v>
      </c>
      <c r="D16" t="s">
        <v>291</v>
      </c>
      <c r="E16" s="59" t="s">
        <v>270</v>
      </c>
      <c r="L16" s="3"/>
      <c r="O16"/>
    </row>
    <row r="17" spans="2:15" x14ac:dyDescent="0.2">
      <c r="B17" t="s">
        <v>260</v>
      </c>
      <c r="D17" t="s">
        <v>293</v>
      </c>
      <c r="E17" s="61" t="s">
        <v>258</v>
      </c>
      <c r="G17" s="9" t="s">
        <v>31</v>
      </c>
      <c r="L17" s="3"/>
      <c r="O17"/>
    </row>
    <row r="18" spans="2:15" x14ac:dyDescent="0.2">
      <c r="B18" t="s">
        <v>260</v>
      </c>
      <c r="D18" t="s">
        <v>293</v>
      </c>
      <c r="E18" s="61" t="s">
        <v>259</v>
      </c>
      <c r="L18" s="3"/>
      <c r="O18"/>
    </row>
    <row r="19" spans="2:15" x14ac:dyDescent="0.2">
      <c r="B19" t="s">
        <v>152</v>
      </c>
      <c r="D19" t="s">
        <v>293</v>
      </c>
      <c r="E19" s="61" t="s">
        <v>151</v>
      </c>
      <c r="L19" s="3"/>
      <c r="O19"/>
    </row>
    <row r="20" spans="2:15" x14ac:dyDescent="0.2">
      <c r="B20" t="s">
        <v>155</v>
      </c>
      <c r="D20" t="s">
        <v>293</v>
      </c>
      <c r="E20" s="61" t="s">
        <v>154</v>
      </c>
      <c r="L20" s="3"/>
      <c r="O20"/>
    </row>
    <row r="21" spans="2:15" x14ac:dyDescent="0.2">
      <c r="B21" t="s">
        <v>157</v>
      </c>
      <c r="D21" t="s">
        <v>229</v>
      </c>
      <c r="E21" s="63" t="s">
        <v>156</v>
      </c>
      <c r="L21" s="3"/>
      <c r="O21"/>
    </row>
    <row r="22" spans="2:15" x14ac:dyDescent="0.2">
      <c r="B22" t="s">
        <v>157</v>
      </c>
      <c r="D22" t="s">
        <v>229</v>
      </c>
      <c r="E22" s="63" t="s">
        <v>26</v>
      </c>
      <c r="F22" t="s">
        <v>27</v>
      </c>
      <c r="L22" s="3"/>
      <c r="O22"/>
    </row>
    <row r="23" spans="2:15" x14ac:dyDescent="0.2">
      <c r="B23" t="s">
        <v>155</v>
      </c>
      <c r="D23" t="s">
        <v>296</v>
      </c>
      <c r="E23" s="63" t="s">
        <v>303</v>
      </c>
      <c r="F23" t="s">
        <v>304</v>
      </c>
      <c r="L23" s="3"/>
      <c r="O23"/>
    </row>
    <row r="24" spans="2:15" x14ac:dyDescent="0.2">
      <c r="B24" t="s">
        <v>150</v>
      </c>
      <c r="E24" s="9" t="s">
        <v>158</v>
      </c>
      <c r="L24" s="3"/>
      <c r="O24"/>
    </row>
    <row r="25" spans="2:15" x14ac:dyDescent="0.2">
      <c r="B25" t="s">
        <v>157</v>
      </c>
      <c r="E25" t="s">
        <v>160</v>
      </c>
      <c r="L25" s="3"/>
      <c r="O25"/>
    </row>
    <row r="26" spans="2:15" x14ac:dyDescent="0.2">
      <c r="B26" t="s">
        <v>157</v>
      </c>
      <c r="E26" s="64" t="s">
        <v>161</v>
      </c>
      <c r="L26" s="3"/>
      <c r="O26"/>
    </row>
    <row r="27" spans="2:15" x14ac:dyDescent="0.2">
      <c r="B27" t="s">
        <v>157</v>
      </c>
      <c r="E27" s="64" t="s">
        <v>162</v>
      </c>
      <c r="L27" s="3"/>
      <c r="O27"/>
    </row>
    <row r="28" spans="2:15" x14ac:dyDescent="0.2">
      <c r="B28" t="s">
        <v>157</v>
      </c>
      <c r="E28" s="64" t="s">
        <v>163</v>
      </c>
      <c r="L28" s="3"/>
      <c r="O28"/>
    </row>
    <row r="29" spans="2:15" x14ac:dyDescent="0.2">
      <c r="B29" t="s">
        <v>157</v>
      </c>
      <c r="E29" t="s">
        <v>165</v>
      </c>
      <c r="F29" t="s">
        <v>166</v>
      </c>
      <c r="G29" t="s">
        <v>164</v>
      </c>
      <c r="L29" s="3"/>
      <c r="O29"/>
    </row>
    <row r="30" spans="2:15" x14ac:dyDescent="0.2">
      <c r="B30" t="s">
        <v>68</v>
      </c>
      <c r="E30" t="s">
        <v>168</v>
      </c>
      <c r="L30" s="3"/>
      <c r="O30"/>
    </row>
    <row r="31" spans="2:15" x14ac:dyDescent="0.2">
      <c r="B31" t="s">
        <v>68</v>
      </c>
      <c r="E31" s="9" t="s">
        <v>170</v>
      </c>
      <c r="L31" s="3"/>
      <c r="O31"/>
    </row>
    <row r="32" spans="2:15" x14ac:dyDescent="0.2">
      <c r="B32" t="s">
        <v>68</v>
      </c>
      <c r="E32" s="9" t="s">
        <v>172</v>
      </c>
      <c r="L32" s="3"/>
      <c r="O32"/>
    </row>
    <row r="33" spans="1:15" x14ac:dyDescent="0.2">
      <c r="B33" t="s">
        <v>68</v>
      </c>
      <c r="E33" t="s">
        <v>173</v>
      </c>
      <c r="L33" s="3"/>
      <c r="O33"/>
    </row>
    <row r="34" spans="1:15" x14ac:dyDescent="0.2">
      <c r="B34" t="s">
        <v>68</v>
      </c>
      <c r="E34" t="s">
        <v>174</v>
      </c>
      <c r="L34" s="3"/>
      <c r="O34"/>
    </row>
    <row r="35" spans="1:15" x14ac:dyDescent="0.2">
      <c r="B35" t="s">
        <v>68</v>
      </c>
      <c r="E35" t="s">
        <v>175</v>
      </c>
      <c r="O35"/>
    </row>
    <row r="36" spans="1:15" x14ac:dyDescent="0.2">
      <c r="B36" t="s">
        <v>68</v>
      </c>
      <c r="E36" t="s">
        <v>150</v>
      </c>
      <c r="O36"/>
    </row>
    <row r="37" spans="1:15" x14ac:dyDescent="0.2">
      <c r="B37" t="s">
        <v>177</v>
      </c>
      <c r="E37" t="s">
        <v>176</v>
      </c>
      <c r="O37"/>
    </row>
    <row r="38" spans="1:15" x14ac:dyDescent="0.2">
      <c r="B38" t="s">
        <v>171</v>
      </c>
      <c r="D38" t="s">
        <v>292</v>
      </c>
      <c r="E38" s="65" t="s">
        <v>178</v>
      </c>
      <c r="O38"/>
    </row>
    <row r="39" spans="1:15" x14ac:dyDescent="0.2">
      <c r="B39" t="s">
        <v>157</v>
      </c>
      <c r="E39" t="s">
        <v>179</v>
      </c>
      <c r="O39"/>
    </row>
    <row r="40" spans="1:15" x14ac:dyDescent="0.2">
      <c r="B40" t="s">
        <v>157</v>
      </c>
      <c r="E40" t="s">
        <v>180</v>
      </c>
      <c r="F40" t="s">
        <v>50</v>
      </c>
      <c r="O40"/>
    </row>
    <row r="41" spans="1:15" x14ac:dyDescent="0.2">
      <c r="A41" s="34">
        <v>45579</v>
      </c>
      <c r="B41" t="s">
        <v>169</v>
      </c>
      <c r="C41" s="34"/>
      <c r="D41" s="34"/>
      <c r="E41" s="9" t="s">
        <v>181</v>
      </c>
      <c r="O41"/>
    </row>
    <row r="42" spans="1:15" x14ac:dyDescent="0.2">
      <c r="O42"/>
    </row>
  </sheetData>
  <phoneticPr fontId="9" type="noConversion"/>
  <conditionalFormatting sqref="G4">
    <cfRule type="notContainsBlanks" dxfId="2" priority="3">
      <formula>LEN(TRIM(G4))&gt;0</formula>
    </cfRule>
  </conditionalFormatting>
  <conditionalFormatting sqref="G10">
    <cfRule type="notContainsBlanks" dxfId="1" priority="2">
      <formula>LEN(TRIM(G10))&gt;0</formula>
    </cfRule>
  </conditionalFormatting>
  <conditionalFormatting sqref="G17">
    <cfRule type="notContainsBlanks" dxfId="0" priority="1">
      <formula>LEN(TRIM(G17))&gt;0</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1D605-B1C8-440B-BAED-AA192E98298E}">
  <sheetPr codeName="Sheet4">
    <tabColor rgb="FFFFFF00"/>
  </sheetPr>
  <dimension ref="A1:AL251"/>
  <sheetViews>
    <sheetView workbookViewId="0">
      <selection activeCell="C18" sqref="C18"/>
    </sheetView>
  </sheetViews>
  <sheetFormatPr baseColWidth="10" defaultColWidth="8.83203125" defaultRowHeight="15" x14ac:dyDescent="0.2"/>
  <cols>
    <col min="1" max="1" width="16.5" bestFit="1" customWidth="1"/>
    <col min="2" max="2" width="16.5" customWidth="1"/>
    <col min="3" max="3" width="37.5" bestFit="1" customWidth="1"/>
    <col min="4" max="4" width="53.1640625" bestFit="1" customWidth="1"/>
    <col min="5" max="5" width="10.33203125" bestFit="1" customWidth="1"/>
    <col min="8" max="8" width="16.5" bestFit="1" customWidth="1"/>
  </cols>
  <sheetData>
    <row r="1" spans="1:38" x14ac:dyDescent="0.2">
      <c r="A1" s="56" t="s">
        <v>194</v>
      </c>
      <c r="B1" s="56" t="s">
        <v>198</v>
      </c>
      <c r="C1" s="56" t="s">
        <v>192</v>
      </c>
      <c r="D1" s="56" t="s">
        <v>193</v>
      </c>
      <c r="E1" s="56" t="s">
        <v>195</v>
      </c>
      <c r="F1" s="56" t="s">
        <v>196</v>
      </c>
      <c r="G1" s="56" t="s">
        <v>199</v>
      </c>
      <c r="H1" s="56" t="s">
        <v>197</v>
      </c>
      <c r="AL1" t="s">
        <v>200</v>
      </c>
    </row>
    <row r="2" spans="1:38" x14ac:dyDescent="0.2">
      <c r="A2" s="34">
        <v>45671</v>
      </c>
      <c r="B2" s="50" t="s">
        <v>200</v>
      </c>
      <c r="C2" t="s">
        <v>278</v>
      </c>
      <c r="D2" t="s">
        <v>271</v>
      </c>
      <c r="E2" s="34">
        <v>45671</v>
      </c>
      <c r="H2" t="s">
        <v>275</v>
      </c>
      <c r="AL2" t="s">
        <v>201</v>
      </c>
    </row>
    <row r="3" spans="1:38" x14ac:dyDescent="0.2">
      <c r="B3" s="50"/>
      <c r="D3" t="s">
        <v>272</v>
      </c>
      <c r="E3" s="34">
        <v>45671</v>
      </c>
      <c r="H3" t="s">
        <v>276</v>
      </c>
      <c r="AL3" t="s">
        <v>202</v>
      </c>
    </row>
    <row r="4" spans="1:38" x14ac:dyDescent="0.2">
      <c r="B4" s="50"/>
      <c r="D4" t="s">
        <v>273</v>
      </c>
      <c r="H4" t="s">
        <v>277</v>
      </c>
      <c r="AL4" t="s">
        <v>203</v>
      </c>
    </row>
    <row r="5" spans="1:38" x14ac:dyDescent="0.2">
      <c r="B5" s="50"/>
      <c r="D5" t="s">
        <v>274</v>
      </c>
      <c r="AL5" t="s">
        <v>204</v>
      </c>
    </row>
    <row r="6" spans="1:38" x14ac:dyDescent="0.2">
      <c r="A6" s="34">
        <v>45671</v>
      </c>
      <c r="B6" s="50" t="s">
        <v>204</v>
      </c>
      <c r="C6" s="57" t="s">
        <v>279</v>
      </c>
      <c r="D6" t="s">
        <v>282</v>
      </c>
      <c r="E6" s="34">
        <v>45671</v>
      </c>
      <c r="AL6" t="s">
        <v>209</v>
      </c>
    </row>
    <row r="7" spans="1:38" x14ac:dyDescent="0.2">
      <c r="A7" s="34">
        <v>45671</v>
      </c>
      <c r="B7" s="50" t="s">
        <v>204</v>
      </c>
      <c r="C7" s="57" t="s">
        <v>280</v>
      </c>
      <c r="D7" t="s">
        <v>281</v>
      </c>
      <c r="E7" s="34">
        <v>45671</v>
      </c>
      <c r="AL7" t="s">
        <v>210</v>
      </c>
    </row>
    <row r="8" spans="1:38" x14ac:dyDescent="0.2">
      <c r="A8" s="34">
        <v>45671</v>
      </c>
      <c r="B8" s="50" t="s">
        <v>210</v>
      </c>
      <c r="C8" s="57" t="s">
        <v>284</v>
      </c>
      <c r="E8" s="34">
        <v>45671</v>
      </c>
      <c r="AL8" t="s">
        <v>211</v>
      </c>
    </row>
    <row r="9" spans="1:38" x14ac:dyDescent="0.2">
      <c r="A9" s="34">
        <v>45671</v>
      </c>
      <c r="B9" s="50" t="s">
        <v>210</v>
      </c>
      <c r="C9" s="57" t="s">
        <v>283</v>
      </c>
      <c r="E9" s="34">
        <v>45671</v>
      </c>
      <c r="AL9" t="s">
        <v>212</v>
      </c>
    </row>
    <row r="10" spans="1:38" x14ac:dyDescent="0.2">
      <c r="A10" s="34">
        <v>45671</v>
      </c>
      <c r="B10" s="50" t="s">
        <v>210</v>
      </c>
      <c r="C10" s="57" t="s">
        <v>285</v>
      </c>
      <c r="E10" s="34">
        <v>45671</v>
      </c>
      <c r="AL10" t="s">
        <v>213</v>
      </c>
    </row>
    <row r="11" spans="1:38" x14ac:dyDescent="0.2">
      <c r="A11" s="34">
        <v>45671</v>
      </c>
      <c r="B11" s="50" t="s">
        <v>212</v>
      </c>
      <c r="C11" s="57" t="s">
        <v>286</v>
      </c>
      <c r="E11" s="34">
        <v>45671</v>
      </c>
      <c r="AL11" t="s">
        <v>214</v>
      </c>
    </row>
    <row r="12" spans="1:38" x14ac:dyDescent="0.2">
      <c r="A12" s="34">
        <v>45671</v>
      </c>
      <c r="B12" s="50" t="s">
        <v>202</v>
      </c>
      <c r="C12" s="57" t="s">
        <v>287</v>
      </c>
      <c r="E12" s="34">
        <v>45671</v>
      </c>
    </row>
    <row r="13" spans="1:38" x14ac:dyDescent="0.2">
      <c r="B13" s="50"/>
    </row>
    <row r="14" spans="1:38" x14ac:dyDescent="0.2">
      <c r="B14" s="50"/>
    </row>
    <row r="15" spans="1:38" x14ac:dyDescent="0.2">
      <c r="B15" s="50"/>
    </row>
    <row r="16" spans="1:38" x14ac:dyDescent="0.2">
      <c r="B16" s="50"/>
    </row>
    <row r="17" spans="2:2" x14ac:dyDescent="0.2">
      <c r="B17" s="50"/>
    </row>
    <row r="18" spans="2:2" x14ac:dyDescent="0.2">
      <c r="B18" s="50"/>
    </row>
    <row r="19" spans="2:2" x14ac:dyDescent="0.2">
      <c r="B19" s="50"/>
    </row>
    <row r="20" spans="2:2" x14ac:dyDescent="0.2">
      <c r="B20" s="50"/>
    </row>
    <row r="21" spans="2:2" x14ac:dyDescent="0.2">
      <c r="B21" s="50"/>
    </row>
    <row r="22" spans="2:2" x14ac:dyDescent="0.2">
      <c r="B22" s="50"/>
    </row>
    <row r="23" spans="2:2" x14ac:dyDescent="0.2">
      <c r="B23" s="50"/>
    </row>
    <row r="24" spans="2:2" x14ac:dyDescent="0.2">
      <c r="B24" s="50"/>
    </row>
    <row r="25" spans="2:2" x14ac:dyDescent="0.2">
      <c r="B25" s="50"/>
    </row>
    <row r="26" spans="2:2" x14ac:dyDescent="0.2">
      <c r="B26" s="50"/>
    </row>
    <row r="27" spans="2:2" x14ac:dyDescent="0.2">
      <c r="B27" s="50"/>
    </row>
    <row r="28" spans="2:2" x14ac:dyDescent="0.2">
      <c r="B28" s="50"/>
    </row>
    <row r="29" spans="2:2" x14ac:dyDescent="0.2">
      <c r="B29" s="50"/>
    </row>
    <row r="30" spans="2:2" x14ac:dyDescent="0.2">
      <c r="B30" s="50"/>
    </row>
    <row r="31" spans="2:2" x14ac:dyDescent="0.2">
      <c r="B31" s="50"/>
    </row>
    <row r="32" spans="2:2" x14ac:dyDescent="0.2">
      <c r="B32" s="50"/>
    </row>
    <row r="33" spans="2:2" x14ac:dyDescent="0.2">
      <c r="B33" s="50"/>
    </row>
    <row r="34" spans="2:2" x14ac:dyDescent="0.2">
      <c r="B34" s="50"/>
    </row>
    <row r="35" spans="2:2" x14ac:dyDescent="0.2">
      <c r="B35" s="50"/>
    </row>
    <row r="36" spans="2:2" x14ac:dyDescent="0.2">
      <c r="B36" s="50"/>
    </row>
    <row r="37" spans="2:2" x14ac:dyDescent="0.2">
      <c r="B37" s="50"/>
    </row>
    <row r="38" spans="2:2" x14ac:dyDescent="0.2">
      <c r="B38" s="50"/>
    </row>
    <row r="39" spans="2:2" x14ac:dyDescent="0.2">
      <c r="B39" s="50"/>
    </row>
    <row r="40" spans="2:2" x14ac:dyDescent="0.2">
      <c r="B40" s="50"/>
    </row>
    <row r="41" spans="2:2" x14ac:dyDescent="0.2">
      <c r="B41" s="50"/>
    </row>
    <row r="42" spans="2:2" x14ac:dyDescent="0.2">
      <c r="B42" s="50"/>
    </row>
    <row r="43" spans="2:2" x14ac:dyDescent="0.2">
      <c r="B43" s="50"/>
    </row>
    <row r="44" spans="2:2" x14ac:dyDescent="0.2">
      <c r="B44" s="50"/>
    </row>
    <row r="45" spans="2:2" x14ac:dyDescent="0.2">
      <c r="B45" s="50"/>
    </row>
    <row r="46" spans="2:2" x14ac:dyDescent="0.2">
      <c r="B46" s="50"/>
    </row>
    <row r="47" spans="2:2" x14ac:dyDescent="0.2">
      <c r="B47" s="50"/>
    </row>
    <row r="48" spans="2:2" x14ac:dyDescent="0.2">
      <c r="B48" s="50"/>
    </row>
    <row r="49" spans="2:2" x14ac:dyDescent="0.2">
      <c r="B49" s="50"/>
    </row>
    <row r="50" spans="2:2" x14ac:dyDescent="0.2">
      <c r="B50" s="50"/>
    </row>
    <row r="51" spans="2:2" x14ac:dyDescent="0.2">
      <c r="B51" s="50"/>
    </row>
    <row r="52" spans="2:2" x14ac:dyDescent="0.2">
      <c r="B52" s="50"/>
    </row>
    <row r="53" spans="2:2" x14ac:dyDescent="0.2">
      <c r="B53" s="50"/>
    </row>
    <row r="54" spans="2:2" x14ac:dyDescent="0.2">
      <c r="B54" s="50"/>
    </row>
    <row r="55" spans="2:2" x14ac:dyDescent="0.2">
      <c r="B55" s="50"/>
    </row>
    <row r="56" spans="2:2" x14ac:dyDescent="0.2">
      <c r="B56" s="50"/>
    </row>
    <row r="57" spans="2:2" x14ac:dyDescent="0.2">
      <c r="B57" s="50"/>
    </row>
    <row r="58" spans="2:2" x14ac:dyDescent="0.2">
      <c r="B58" s="50"/>
    </row>
    <row r="59" spans="2:2" x14ac:dyDescent="0.2">
      <c r="B59" s="50"/>
    </row>
    <row r="60" spans="2:2" x14ac:dyDescent="0.2">
      <c r="B60" s="50"/>
    </row>
    <row r="61" spans="2:2" x14ac:dyDescent="0.2">
      <c r="B61" s="50"/>
    </row>
    <row r="62" spans="2:2" x14ac:dyDescent="0.2">
      <c r="B62" s="50"/>
    </row>
    <row r="63" spans="2:2" x14ac:dyDescent="0.2">
      <c r="B63" s="50"/>
    </row>
    <row r="64" spans="2:2" x14ac:dyDescent="0.2">
      <c r="B64" s="50"/>
    </row>
    <row r="65" spans="2:2" x14ac:dyDescent="0.2">
      <c r="B65" s="50"/>
    </row>
    <row r="66" spans="2:2" x14ac:dyDescent="0.2">
      <c r="B66" s="50"/>
    </row>
    <row r="67" spans="2:2" x14ac:dyDescent="0.2">
      <c r="B67" s="50"/>
    </row>
    <row r="68" spans="2:2" x14ac:dyDescent="0.2">
      <c r="B68" s="50"/>
    </row>
    <row r="69" spans="2:2" x14ac:dyDescent="0.2">
      <c r="B69" s="50"/>
    </row>
    <row r="70" spans="2:2" x14ac:dyDescent="0.2">
      <c r="B70" s="50"/>
    </row>
    <row r="71" spans="2:2" x14ac:dyDescent="0.2">
      <c r="B71" s="50"/>
    </row>
    <row r="72" spans="2:2" x14ac:dyDescent="0.2">
      <c r="B72" s="50"/>
    </row>
    <row r="73" spans="2:2" x14ac:dyDescent="0.2">
      <c r="B73" s="50"/>
    </row>
    <row r="74" spans="2:2" x14ac:dyDescent="0.2">
      <c r="B74" s="50"/>
    </row>
    <row r="75" spans="2:2" x14ac:dyDescent="0.2">
      <c r="B75" s="50"/>
    </row>
    <row r="76" spans="2:2" x14ac:dyDescent="0.2">
      <c r="B76" s="50"/>
    </row>
    <row r="77" spans="2:2" x14ac:dyDescent="0.2">
      <c r="B77" s="50"/>
    </row>
    <row r="78" spans="2:2" x14ac:dyDescent="0.2">
      <c r="B78" s="50"/>
    </row>
    <row r="79" spans="2:2" x14ac:dyDescent="0.2">
      <c r="B79" s="50"/>
    </row>
    <row r="80" spans="2:2" x14ac:dyDescent="0.2">
      <c r="B80" s="50"/>
    </row>
    <row r="81" spans="2:2" x14ac:dyDescent="0.2">
      <c r="B81" s="50"/>
    </row>
    <row r="82" spans="2:2" x14ac:dyDescent="0.2">
      <c r="B82" s="50"/>
    </row>
    <row r="83" spans="2:2" x14ac:dyDescent="0.2">
      <c r="B83" s="50"/>
    </row>
    <row r="84" spans="2:2" x14ac:dyDescent="0.2">
      <c r="B84" s="50"/>
    </row>
    <row r="85" spans="2:2" x14ac:dyDescent="0.2">
      <c r="B85" s="50"/>
    </row>
    <row r="86" spans="2:2" x14ac:dyDescent="0.2">
      <c r="B86" s="50"/>
    </row>
    <row r="87" spans="2:2" x14ac:dyDescent="0.2">
      <c r="B87" s="50"/>
    </row>
    <row r="88" spans="2:2" x14ac:dyDescent="0.2">
      <c r="B88" s="50"/>
    </row>
    <row r="89" spans="2:2" x14ac:dyDescent="0.2">
      <c r="B89" s="50"/>
    </row>
    <row r="90" spans="2:2" x14ac:dyDescent="0.2">
      <c r="B90" s="50"/>
    </row>
    <row r="91" spans="2:2" x14ac:dyDescent="0.2">
      <c r="B91" s="50"/>
    </row>
    <row r="92" spans="2:2" x14ac:dyDescent="0.2">
      <c r="B92" s="50"/>
    </row>
    <row r="93" spans="2:2" x14ac:dyDescent="0.2">
      <c r="B93" s="50"/>
    </row>
    <row r="94" spans="2:2" x14ac:dyDescent="0.2">
      <c r="B94" s="50"/>
    </row>
    <row r="95" spans="2:2" x14ac:dyDescent="0.2">
      <c r="B95" s="50"/>
    </row>
    <row r="96" spans="2:2" x14ac:dyDescent="0.2">
      <c r="B96" s="50"/>
    </row>
    <row r="97" spans="2:2" x14ac:dyDescent="0.2">
      <c r="B97" s="50"/>
    </row>
    <row r="98" spans="2:2" x14ac:dyDescent="0.2">
      <c r="B98" s="50"/>
    </row>
    <row r="99" spans="2:2" x14ac:dyDescent="0.2">
      <c r="B99" s="50"/>
    </row>
    <row r="100" spans="2:2" x14ac:dyDescent="0.2">
      <c r="B100" s="50"/>
    </row>
    <row r="101" spans="2:2" x14ac:dyDescent="0.2">
      <c r="B101" s="50"/>
    </row>
    <row r="102" spans="2:2" x14ac:dyDescent="0.2">
      <c r="B102" s="50"/>
    </row>
    <row r="103" spans="2:2" x14ac:dyDescent="0.2">
      <c r="B103" s="50"/>
    </row>
    <row r="104" spans="2:2" x14ac:dyDescent="0.2">
      <c r="B104" s="50"/>
    </row>
    <row r="105" spans="2:2" x14ac:dyDescent="0.2">
      <c r="B105" s="50"/>
    </row>
    <row r="106" spans="2:2" x14ac:dyDescent="0.2">
      <c r="B106" s="50"/>
    </row>
    <row r="107" spans="2:2" x14ac:dyDescent="0.2">
      <c r="B107" s="50"/>
    </row>
    <row r="108" spans="2:2" x14ac:dyDescent="0.2">
      <c r="B108" s="50"/>
    </row>
    <row r="109" spans="2:2" x14ac:dyDescent="0.2">
      <c r="B109" s="50"/>
    </row>
    <row r="110" spans="2:2" x14ac:dyDescent="0.2">
      <c r="B110" s="50"/>
    </row>
    <row r="111" spans="2:2" x14ac:dyDescent="0.2">
      <c r="B111" s="50"/>
    </row>
    <row r="112" spans="2:2" x14ac:dyDescent="0.2">
      <c r="B112" s="50"/>
    </row>
    <row r="113" spans="2:2" x14ac:dyDescent="0.2">
      <c r="B113" s="50"/>
    </row>
    <row r="114" spans="2:2" x14ac:dyDescent="0.2">
      <c r="B114" s="50"/>
    </row>
    <row r="115" spans="2:2" x14ac:dyDescent="0.2">
      <c r="B115" s="50"/>
    </row>
    <row r="116" spans="2:2" x14ac:dyDescent="0.2">
      <c r="B116" s="50"/>
    </row>
    <row r="117" spans="2:2" x14ac:dyDescent="0.2">
      <c r="B117" s="50"/>
    </row>
    <row r="118" spans="2:2" x14ac:dyDescent="0.2">
      <c r="B118" s="50"/>
    </row>
    <row r="119" spans="2:2" x14ac:dyDescent="0.2">
      <c r="B119" s="50"/>
    </row>
    <row r="120" spans="2:2" x14ac:dyDescent="0.2">
      <c r="B120" s="50"/>
    </row>
    <row r="121" spans="2:2" x14ac:dyDescent="0.2">
      <c r="B121" s="50"/>
    </row>
    <row r="122" spans="2:2" x14ac:dyDescent="0.2">
      <c r="B122" s="50"/>
    </row>
    <row r="123" spans="2:2" x14ac:dyDescent="0.2">
      <c r="B123" s="50"/>
    </row>
    <row r="124" spans="2:2" x14ac:dyDescent="0.2">
      <c r="B124" s="50"/>
    </row>
    <row r="125" spans="2:2" x14ac:dyDescent="0.2">
      <c r="B125" s="50"/>
    </row>
    <row r="126" spans="2:2" x14ac:dyDescent="0.2">
      <c r="B126" s="50"/>
    </row>
    <row r="127" spans="2:2" x14ac:dyDescent="0.2">
      <c r="B127" s="50"/>
    </row>
    <row r="128" spans="2:2" x14ac:dyDescent="0.2">
      <c r="B128" s="50"/>
    </row>
    <row r="129" spans="2:2" x14ac:dyDescent="0.2">
      <c r="B129" s="50"/>
    </row>
    <row r="130" spans="2:2" x14ac:dyDescent="0.2">
      <c r="B130" s="50"/>
    </row>
    <row r="131" spans="2:2" x14ac:dyDescent="0.2">
      <c r="B131" s="50"/>
    </row>
    <row r="132" spans="2:2" x14ac:dyDescent="0.2">
      <c r="B132" s="50"/>
    </row>
    <row r="133" spans="2:2" x14ac:dyDescent="0.2">
      <c r="B133" s="50"/>
    </row>
    <row r="134" spans="2:2" x14ac:dyDescent="0.2">
      <c r="B134" s="50"/>
    </row>
    <row r="135" spans="2:2" x14ac:dyDescent="0.2">
      <c r="B135" s="50"/>
    </row>
    <row r="136" spans="2:2" x14ac:dyDescent="0.2">
      <c r="B136" s="50"/>
    </row>
    <row r="137" spans="2:2" x14ac:dyDescent="0.2">
      <c r="B137" s="50"/>
    </row>
    <row r="138" spans="2:2" x14ac:dyDescent="0.2">
      <c r="B138" s="50"/>
    </row>
    <row r="139" spans="2:2" x14ac:dyDescent="0.2">
      <c r="B139" s="50"/>
    </row>
    <row r="140" spans="2:2" x14ac:dyDescent="0.2">
      <c r="B140" s="50"/>
    </row>
    <row r="141" spans="2:2" x14ac:dyDescent="0.2">
      <c r="B141" s="50"/>
    </row>
    <row r="142" spans="2:2" x14ac:dyDescent="0.2">
      <c r="B142" s="50"/>
    </row>
    <row r="143" spans="2:2" x14ac:dyDescent="0.2">
      <c r="B143" s="50"/>
    </row>
    <row r="144" spans="2:2" x14ac:dyDescent="0.2">
      <c r="B144" s="50"/>
    </row>
    <row r="145" spans="2:2" x14ac:dyDescent="0.2">
      <c r="B145" s="50"/>
    </row>
    <row r="146" spans="2:2" x14ac:dyDescent="0.2">
      <c r="B146" s="50"/>
    </row>
    <row r="147" spans="2:2" x14ac:dyDescent="0.2">
      <c r="B147" s="50"/>
    </row>
    <row r="148" spans="2:2" x14ac:dyDescent="0.2">
      <c r="B148" s="50"/>
    </row>
    <row r="149" spans="2:2" x14ac:dyDescent="0.2">
      <c r="B149" s="50"/>
    </row>
    <row r="150" spans="2:2" x14ac:dyDescent="0.2">
      <c r="B150" s="50"/>
    </row>
    <row r="151" spans="2:2" x14ac:dyDescent="0.2">
      <c r="B151" s="50"/>
    </row>
    <row r="152" spans="2:2" x14ac:dyDescent="0.2">
      <c r="B152" s="50"/>
    </row>
    <row r="153" spans="2:2" x14ac:dyDescent="0.2">
      <c r="B153" s="50"/>
    </row>
    <row r="154" spans="2:2" x14ac:dyDescent="0.2">
      <c r="B154" s="50"/>
    </row>
    <row r="155" spans="2:2" x14ac:dyDescent="0.2">
      <c r="B155" s="50"/>
    </row>
    <row r="156" spans="2:2" x14ac:dyDescent="0.2">
      <c r="B156" s="50"/>
    </row>
    <row r="157" spans="2:2" x14ac:dyDescent="0.2">
      <c r="B157" s="50"/>
    </row>
    <row r="158" spans="2:2" x14ac:dyDescent="0.2">
      <c r="B158" s="50"/>
    </row>
    <row r="159" spans="2:2" x14ac:dyDescent="0.2">
      <c r="B159" s="50"/>
    </row>
    <row r="160" spans="2:2" x14ac:dyDescent="0.2">
      <c r="B160" s="50"/>
    </row>
    <row r="161" spans="2:2" x14ac:dyDescent="0.2">
      <c r="B161" s="50"/>
    </row>
    <row r="162" spans="2:2" x14ac:dyDescent="0.2">
      <c r="B162" s="50"/>
    </row>
    <row r="163" spans="2:2" x14ac:dyDescent="0.2">
      <c r="B163" s="50"/>
    </row>
    <row r="164" spans="2:2" x14ac:dyDescent="0.2">
      <c r="B164" s="50"/>
    </row>
    <row r="165" spans="2:2" x14ac:dyDescent="0.2">
      <c r="B165" s="50"/>
    </row>
    <row r="166" spans="2:2" x14ac:dyDescent="0.2">
      <c r="B166" s="50"/>
    </row>
    <row r="167" spans="2:2" x14ac:dyDescent="0.2">
      <c r="B167" s="50"/>
    </row>
    <row r="168" spans="2:2" x14ac:dyDescent="0.2">
      <c r="B168" s="50"/>
    </row>
    <row r="169" spans="2:2" x14ac:dyDescent="0.2">
      <c r="B169" s="50"/>
    </row>
    <row r="170" spans="2:2" x14ac:dyDescent="0.2">
      <c r="B170" s="50"/>
    </row>
    <row r="171" spans="2:2" x14ac:dyDescent="0.2">
      <c r="B171" s="50"/>
    </row>
    <row r="172" spans="2:2" x14ac:dyDescent="0.2">
      <c r="B172" s="50"/>
    </row>
    <row r="173" spans="2:2" x14ac:dyDescent="0.2">
      <c r="B173" s="50"/>
    </row>
    <row r="174" spans="2:2" x14ac:dyDescent="0.2">
      <c r="B174" s="50"/>
    </row>
    <row r="175" spans="2:2" x14ac:dyDescent="0.2">
      <c r="B175" s="50"/>
    </row>
    <row r="176" spans="2:2" x14ac:dyDescent="0.2">
      <c r="B176" s="50"/>
    </row>
    <row r="177" spans="2:2" x14ac:dyDescent="0.2">
      <c r="B177" s="50"/>
    </row>
    <row r="178" spans="2:2" x14ac:dyDescent="0.2">
      <c r="B178" s="50"/>
    </row>
    <row r="179" spans="2:2" x14ac:dyDescent="0.2">
      <c r="B179" s="50"/>
    </row>
    <row r="180" spans="2:2" x14ac:dyDescent="0.2">
      <c r="B180" s="50"/>
    </row>
    <row r="181" spans="2:2" x14ac:dyDescent="0.2">
      <c r="B181" s="50"/>
    </row>
    <row r="182" spans="2:2" x14ac:dyDescent="0.2">
      <c r="B182" s="50"/>
    </row>
    <row r="183" spans="2:2" x14ac:dyDescent="0.2">
      <c r="B183" s="50"/>
    </row>
    <row r="184" spans="2:2" x14ac:dyDescent="0.2">
      <c r="B184" s="50"/>
    </row>
    <row r="185" spans="2:2" x14ac:dyDescent="0.2">
      <c r="B185" s="50"/>
    </row>
    <row r="186" spans="2:2" x14ac:dyDescent="0.2">
      <c r="B186" s="50"/>
    </row>
    <row r="187" spans="2:2" x14ac:dyDescent="0.2">
      <c r="B187" s="50"/>
    </row>
    <row r="188" spans="2:2" x14ac:dyDescent="0.2">
      <c r="B188" s="50"/>
    </row>
    <row r="189" spans="2:2" x14ac:dyDescent="0.2">
      <c r="B189" s="50"/>
    </row>
    <row r="190" spans="2:2" x14ac:dyDescent="0.2">
      <c r="B190" s="50"/>
    </row>
    <row r="191" spans="2:2" x14ac:dyDescent="0.2">
      <c r="B191" s="50"/>
    </row>
    <row r="192" spans="2:2" x14ac:dyDescent="0.2">
      <c r="B192" s="50"/>
    </row>
    <row r="193" spans="2:2" x14ac:dyDescent="0.2">
      <c r="B193" s="50"/>
    </row>
    <row r="194" spans="2:2" x14ac:dyDescent="0.2">
      <c r="B194" s="50"/>
    </row>
    <row r="195" spans="2:2" x14ac:dyDescent="0.2">
      <c r="B195" s="50"/>
    </row>
    <row r="196" spans="2:2" x14ac:dyDescent="0.2">
      <c r="B196" s="50"/>
    </row>
    <row r="197" spans="2:2" x14ac:dyDescent="0.2">
      <c r="B197" s="50"/>
    </row>
    <row r="198" spans="2:2" x14ac:dyDescent="0.2">
      <c r="B198" s="50"/>
    </row>
    <row r="199" spans="2:2" x14ac:dyDescent="0.2">
      <c r="B199" s="50"/>
    </row>
    <row r="200" spans="2:2" x14ac:dyDescent="0.2">
      <c r="B200" s="50"/>
    </row>
    <row r="201" spans="2:2" x14ac:dyDescent="0.2">
      <c r="B201" s="50"/>
    </row>
    <row r="202" spans="2:2" x14ac:dyDescent="0.2">
      <c r="B202" s="50"/>
    </row>
    <row r="203" spans="2:2" x14ac:dyDescent="0.2">
      <c r="B203" s="50"/>
    </row>
    <row r="204" spans="2:2" x14ac:dyDescent="0.2">
      <c r="B204" s="50"/>
    </row>
    <row r="205" spans="2:2" x14ac:dyDescent="0.2">
      <c r="B205" s="50"/>
    </row>
    <row r="206" spans="2:2" x14ac:dyDescent="0.2">
      <c r="B206" s="50"/>
    </row>
    <row r="207" spans="2:2" x14ac:dyDescent="0.2">
      <c r="B207" s="50"/>
    </row>
    <row r="208" spans="2:2" x14ac:dyDescent="0.2">
      <c r="B208" s="50"/>
    </row>
    <row r="209" spans="2:2" x14ac:dyDescent="0.2">
      <c r="B209" s="50"/>
    </row>
    <row r="210" spans="2:2" x14ac:dyDescent="0.2">
      <c r="B210" s="50"/>
    </row>
    <row r="211" spans="2:2" x14ac:dyDescent="0.2">
      <c r="B211" s="50"/>
    </row>
    <row r="212" spans="2:2" x14ac:dyDescent="0.2">
      <c r="B212" s="50"/>
    </row>
    <row r="213" spans="2:2" x14ac:dyDescent="0.2">
      <c r="B213" s="50"/>
    </row>
    <row r="214" spans="2:2" x14ac:dyDescent="0.2">
      <c r="B214" s="50"/>
    </row>
    <row r="215" spans="2:2" x14ac:dyDescent="0.2">
      <c r="B215" s="50"/>
    </row>
    <row r="216" spans="2:2" x14ac:dyDescent="0.2">
      <c r="B216" s="50"/>
    </row>
    <row r="217" spans="2:2" x14ac:dyDescent="0.2">
      <c r="B217" s="50"/>
    </row>
    <row r="218" spans="2:2" x14ac:dyDescent="0.2">
      <c r="B218" s="50"/>
    </row>
    <row r="219" spans="2:2" x14ac:dyDescent="0.2">
      <c r="B219" s="50"/>
    </row>
    <row r="220" spans="2:2" x14ac:dyDescent="0.2">
      <c r="B220" s="50"/>
    </row>
    <row r="221" spans="2:2" x14ac:dyDescent="0.2">
      <c r="B221" s="50"/>
    </row>
    <row r="222" spans="2:2" x14ac:dyDescent="0.2">
      <c r="B222" s="50"/>
    </row>
    <row r="223" spans="2:2" x14ac:dyDescent="0.2">
      <c r="B223" s="50"/>
    </row>
    <row r="224" spans="2:2" x14ac:dyDescent="0.2">
      <c r="B224" s="50"/>
    </row>
    <row r="225" spans="2:2" x14ac:dyDescent="0.2">
      <c r="B225" s="50"/>
    </row>
    <row r="226" spans="2:2" x14ac:dyDescent="0.2">
      <c r="B226" s="50"/>
    </row>
    <row r="227" spans="2:2" x14ac:dyDescent="0.2">
      <c r="B227" s="50"/>
    </row>
    <row r="228" spans="2:2" x14ac:dyDescent="0.2">
      <c r="B228" s="50"/>
    </row>
    <row r="229" spans="2:2" x14ac:dyDescent="0.2">
      <c r="B229" s="50"/>
    </row>
    <row r="230" spans="2:2" x14ac:dyDescent="0.2">
      <c r="B230" s="50"/>
    </row>
    <row r="231" spans="2:2" x14ac:dyDescent="0.2">
      <c r="B231" s="50"/>
    </row>
    <row r="232" spans="2:2" x14ac:dyDescent="0.2">
      <c r="B232" s="50"/>
    </row>
    <row r="233" spans="2:2" x14ac:dyDescent="0.2">
      <c r="B233" s="50"/>
    </row>
    <row r="234" spans="2:2" x14ac:dyDescent="0.2">
      <c r="B234" s="50"/>
    </row>
    <row r="235" spans="2:2" x14ac:dyDescent="0.2">
      <c r="B235" s="50"/>
    </row>
    <row r="236" spans="2:2" x14ac:dyDescent="0.2">
      <c r="B236" s="50"/>
    </row>
    <row r="237" spans="2:2" x14ac:dyDescent="0.2">
      <c r="B237" s="50"/>
    </row>
    <row r="238" spans="2:2" x14ac:dyDescent="0.2">
      <c r="B238" s="50"/>
    </row>
    <row r="239" spans="2:2" x14ac:dyDescent="0.2">
      <c r="B239" s="50"/>
    </row>
    <row r="240" spans="2:2" x14ac:dyDescent="0.2">
      <c r="B240" s="50"/>
    </row>
    <row r="241" spans="2:2" x14ac:dyDescent="0.2">
      <c r="B241" s="50"/>
    </row>
    <row r="242" spans="2:2" x14ac:dyDescent="0.2">
      <c r="B242" s="50"/>
    </row>
    <row r="243" spans="2:2" x14ac:dyDescent="0.2">
      <c r="B243" s="50"/>
    </row>
    <row r="244" spans="2:2" x14ac:dyDescent="0.2">
      <c r="B244" s="50"/>
    </row>
    <row r="245" spans="2:2" x14ac:dyDescent="0.2">
      <c r="B245" s="50"/>
    </row>
    <row r="246" spans="2:2" x14ac:dyDescent="0.2">
      <c r="B246" s="50"/>
    </row>
    <row r="247" spans="2:2" x14ac:dyDescent="0.2">
      <c r="B247" s="50"/>
    </row>
    <row r="248" spans="2:2" x14ac:dyDescent="0.2">
      <c r="B248" s="50"/>
    </row>
    <row r="249" spans="2:2" x14ac:dyDescent="0.2">
      <c r="B249" s="50"/>
    </row>
    <row r="250" spans="2:2" x14ac:dyDescent="0.2">
      <c r="B250" s="50"/>
    </row>
    <row r="251" spans="2:2" x14ac:dyDescent="0.2">
      <c r="B251" s="50"/>
    </row>
  </sheetData>
  <dataValidations count="1">
    <dataValidation type="list" allowBlank="1" showInputMessage="1" showErrorMessage="1" sqref="B2:B251" xr:uid="{D9625B55-3BFC-43A5-B344-E7BBEBC7228A}">
      <formula1>$AL$1:$AL$11</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0A2F2-15EE-41FC-90DA-844741434B0F}">
  <sheetPr>
    <tabColor theme="5" tint="0.59999389629810485"/>
  </sheetPr>
  <dimension ref="V2:Z21"/>
  <sheetViews>
    <sheetView showGridLines="0" workbookViewId="0">
      <selection activeCell="I28" sqref="I28"/>
    </sheetView>
  </sheetViews>
  <sheetFormatPr baseColWidth="10" defaultColWidth="8.83203125" defaultRowHeight="15" x14ac:dyDescent="0.2"/>
  <cols>
    <col min="22" max="22" width="17" bestFit="1" customWidth="1"/>
    <col min="23" max="23" width="11.6640625" bestFit="1" customWidth="1"/>
    <col min="25" max="25" width="17.1640625" bestFit="1" customWidth="1"/>
  </cols>
  <sheetData>
    <row r="2" spans="22:26" x14ac:dyDescent="0.2">
      <c r="V2" t="s">
        <v>236</v>
      </c>
      <c r="W2" cm="1">
        <f t="array" aca="1" ref="W2:W11" ca="1">TRANSPOSE(_xlfn._xlws.FILTER(Registered!A1:O1,Registered!A1:O1&lt;&gt;""))</f>
        <v>60</v>
      </c>
    </row>
    <row r="3" spans="22:26" x14ac:dyDescent="0.2">
      <c r="V3" t="s">
        <v>238</v>
      </c>
      <c r="W3">
        <f ca="1"/>
        <v>22</v>
      </c>
      <c r="Y3" t="str" cm="1">
        <f t="array" aca="1" ref="Y3:Z10" ca="1">_xlfn.VSTACK(_xlfn._xlws.SORT(V3:W10,1,-1))</f>
        <v>Paid This Month</v>
      </c>
      <c r="Z3">
        <f ca="1"/>
        <v>-5</v>
      </c>
    </row>
    <row r="4" spans="22:26" x14ac:dyDescent="0.2">
      <c r="V4" t="s">
        <v>246</v>
      </c>
      <c r="W4">
        <f ca="1"/>
        <v>6</v>
      </c>
      <c r="Y4" t="str">
        <f ca="1"/>
        <v>Not Paying</v>
      </c>
      <c r="Z4">
        <f ca="1"/>
        <v>1</v>
      </c>
    </row>
    <row r="5" spans="22:26" x14ac:dyDescent="0.2">
      <c r="V5" t="s">
        <v>248</v>
      </c>
      <c r="W5">
        <f ca="1"/>
        <v>16</v>
      </c>
      <c r="Y5" t="str">
        <f ca="1"/>
        <v>Not Paid This Month</v>
      </c>
      <c r="Z5">
        <f ca="1"/>
        <v>29</v>
      </c>
    </row>
    <row r="6" spans="22:26" x14ac:dyDescent="0.2">
      <c r="V6" t="s">
        <v>247</v>
      </c>
      <c r="W6">
        <f ca="1"/>
        <v>1</v>
      </c>
      <c r="Y6" t="str">
        <f ca="1"/>
        <v>New, Yet To Pay</v>
      </c>
      <c r="Z6">
        <f ca="1"/>
        <v>5</v>
      </c>
    </row>
    <row r="7" spans="22:26" x14ac:dyDescent="0.2">
      <c r="V7" t="s">
        <v>239</v>
      </c>
      <c r="W7">
        <f ca="1"/>
        <v>29</v>
      </c>
      <c r="Y7" t="str">
        <f ca="1"/>
        <v>Dead</v>
      </c>
      <c r="Z7">
        <f ca="1"/>
        <v>16</v>
      </c>
    </row>
    <row r="8" spans="22:26" x14ac:dyDescent="0.2">
      <c r="V8" t="s">
        <v>244</v>
      </c>
      <c r="W8">
        <f ca="1"/>
        <v>5</v>
      </c>
      <c r="Y8" t="str">
        <f ca="1"/>
        <v>Break, To Resume</v>
      </c>
      <c r="Z8">
        <f ca="1"/>
        <v>6</v>
      </c>
    </row>
    <row r="9" spans="22:26" x14ac:dyDescent="0.2">
      <c r="V9" t="s">
        <v>242</v>
      </c>
      <c r="W9">
        <f ca="1"/>
        <v>-5</v>
      </c>
      <c r="Y9" t="str">
        <f ca="1"/>
        <v>2.1.Dropped</v>
      </c>
      <c r="Z9">
        <f ca="1"/>
        <v>22</v>
      </c>
    </row>
    <row r="10" spans="22:26" x14ac:dyDescent="0.2">
      <c r="V10" t="s">
        <v>243</v>
      </c>
      <c r="W10">
        <f ca="1"/>
        <v>29</v>
      </c>
      <c r="Y10" t="str">
        <f ca="1"/>
        <v>1.1.Live &amp; Paying</v>
      </c>
      <c r="Z10">
        <f ca="1"/>
        <v>29</v>
      </c>
    </row>
    <row r="11" spans="22:26" x14ac:dyDescent="0.2">
      <c r="V11" t="s">
        <v>237</v>
      </c>
      <c r="W11">
        <f ca="1"/>
        <v>162</v>
      </c>
    </row>
    <row r="16" spans="22:26" x14ac:dyDescent="0.2">
      <c r="V16" t="s">
        <v>240</v>
      </c>
      <c r="W16" t="s">
        <v>241</v>
      </c>
      <c r="X16" t="s">
        <v>242</v>
      </c>
      <c r="Y16">
        <f t="shared" ref="Y16:Y21" ca="1" si="0">VLOOKUP(X16,_xlfn.ANCHORARRAY($Y$3),2,0)</f>
        <v>-5</v>
      </c>
    </row>
    <row r="17" spans="22:25" x14ac:dyDescent="0.2">
      <c r="V17" t="s">
        <v>240</v>
      </c>
      <c r="W17" t="s">
        <v>241</v>
      </c>
      <c r="X17" t="s">
        <v>243</v>
      </c>
      <c r="Y17">
        <f t="shared" ca="1" si="0"/>
        <v>29</v>
      </c>
    </row>
    <row r="18" spans="22:25" x14ac:dyDescent="0.2">
      <c r="V18" t="s">
        <v>240</v>
      </c>
      <c r="W18" t="s">
        <v>241</v>
      </c>
      <c r="X18" t="s">
        <v>244</v>
      </c>
      <c r="Y18">
        <f t="shared" ca="1" si="0"/>
        <v>5</v>
      </c>
    </row>
    <row r="19" spans="22:25" x14ac:dyDescent="0.2">
      <c r="V19" t="s">
        <v>240</v>
      </c>
      <c r="W19" t="s">
        <v>241</v>
      </c>
      <c r="X19" t="s">
        <v>247</v>
      </c>
      <c r="Y19">
        <f t="shared" ca="1" si="0"/>
        <v>1</v>
      </c>
    </row>
    <row r="20" spans="22:25" x14ac:dyDescent="0.2">
      <c r="V20" t="s">
        <v>240</v>
      </c>
      <c r="W20" t="s">
        <v>245</v>
      </c>
      <c r="X20" t="s">
        <v>246</v>
      </c>
      <c r="Y20">
        <f t="shared" ca="1" si="0"/>
        <v>6</v>
      </c>
    </row>
    <row r="21" spans="22:25" x14ac:dyDescent="0.2">
      <c r="V21" t="s">
        <v>240</v>
      </c>
      <c r="W21" t="s">
        <v>245</v>
      </c>
      <c r="X21" t="s">
        <v>248</v>
      </c>
      <c r="Y21">
        <f t="shared" ca="1" si="0"/>
        <v>16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Registered</vt:lpstr>
      <vt:lpstr>08Aug2025</vt:lpstr>
      <vt:lpstr>Sheet2</vt:lpstr>
      <vt:lpstr>Segments</vt:lpstr>
      <vt:lpstr>March W1 Effort</vt:lpstr>
      <vt:lpstr>Alert List</vt:lpstr>
      <vt:lpstr>Hot List</vt:lpstr>
      <vt:lpstr>Followups</vt:lpstr>
      <vt:lpstr>Actionables</vt:lpstr>
      <vt:lpstr>Graphs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Arijit Chowdhury</dc:creator>
  <cp:keywords/>
  <dc:description/>
  <cp:lastModifiedBy>Arijit Chowdhury</cp:lastModifiedBy>
  <cp:revision/>
  <dcterms:created xsi:type="dcterms:W3CDTF">2015-06-05T18:17:20Z</dcterms:created>
  <dcterms:modified xsi:type="dcterms:W3CDTF">2026-06-06T14:35:03Z</dcterms:modified>
  <cp:category/>
  <cp:contentStatus/>
</cp:coreProperties>
</file>